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13_ncr:1_{2B5BCC22-E0CB-4669-A15B-572CEF8CA121}" xr6:coauthVersionLast="47" xr6:coauthVersionMax="47" xr10:uidLastSave="{00000000-0000-0000-0000-000000000000}"/>
  <bookViews>
    <workbookView xWindow="-120" yWindow="-120" windowWidth="20730" windowHeight="11040" xr2:uid="{505C23A6-2155-42B4-8C4C-BB76A8AD0661}"/>
  </bookViews>
  <sheets>
    <sheet name="Cover" sheetId="2" r:id="rId1"/>
    <sheet name="Forecast" sheetId="1" r:id="rId2"/>
    <sheet name="Report" sheetId="4" r:id="rId3"/>
    <sheet name="Calc" sheetId="3" state="hidden"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2" i="2" l="1"/>
  <c r="C18" i="1"/>
  <c r="D60" i="1"/>
  <c r="E64" i="1"/>
  <c r="F64" i="1"/>
  <c r="G64" i="1"/>
  <c r="H64" i="1"/>
  <c r="I64" i="1"/>
  <c r="J64" i="1"/>
  <c r="K64" i="1"/>
  <c r="L64" i="1"/>
  <c r="M64" i="1"/>
  <c r="N64" i="1"/>
  <c r="O64" i="1"/>
  <c r="D64" i="1"/>
  <c r="E62" i="1"/>
  <c r="F62" i="1"/>
  <c r="G62" i="1"/>
  <c r="H62" i="1"/>
  <c r="I62" i="1"/>
  <c r="J62" i="1"/>
  <c r="K62" i="1"/>
  <c r="L62" i="1"/>
  <c r="M62" i="1"/>
  <c r="N62" i="1"/>
  <c r="O62" i="1"/>
  <c r="D62" i="1"/>
  <c r="E63" i="1"/>
  <c r="F63" i="1"/>
  <c r="G63" i="1"/>
  <c r="H63" i="1"/>
  <c r="I63" i="1"/>
  <c r="J63" i="1"/>
  <c r="K63" i="1"/>
  <c r="L63" i="1"/>
  <c r="M63" i="1"/>
  <c r="N63" i="1"/>
  <c r="O63" i="1"/>
  <c r="D63" i="1"/>
  <c r="E67" i="1"/>
  <c r="F67" i="1"/>
  <c r="G67" i="1"/>
  <c r="H67" i="1"/>
  <c r="I67" i="1"/>
  <c r="J67" i="1"/>
  <c r="K67" i="1"/>
  <c r="L67" i="1"/>
  <c r="M67" i="1"/>
  <c r="N67" i="1"/>
  <c r="O67" i="1"/>
  <c r="D67" i="1"/>
  <c r="E66" i="1"/>
  <c r="F66" i="1"/>
  <c r="G66" i="1"/>
  <c r="H66" i="1"/>
  <c r="I66" i="1"/>
  <c r="J66" i="1"/>
  <c r="K66" i="1"/>
  <c r="L66" i="1"/>
  <c r="M66" i="1"/>
  <c r="N66" i="1"/>
  <c r="O66" i="1"/>
  <c r="D66" i="1"/>
  <c r="E61" i="1"/>
  <c r="F61" i="1"/>
  <c r="G61" i="1"/>
  <c r="H61" i="1"/>
  <c r="I61" i="1"/>
  <c r="J61" i="1"/>
  <c r="K61" i="1"/>
  <c r="L61" i="1"/>
  <c r="M61" i="1"/>
  <c r="N61" i="1"/>
  <c r="O61" i="1"/>
  <c r="D61" i="1"/>
  <c r="E60" i="1"/>
  <c r="F60" i="1"/>
  <c r="G60" i="1"/>
  <c r="H60" i="1"/>
  <c r="I60" i="1"/>
  <c r="J60" i="1"/>
  <c r="K60" i="1"/>
  <c r="L60" i="1"/>
  <c r="M60" i="1"/>
  <c r="N60" i="1"/>
  <c r="O60" i="1"/>
  <c r="B2" i="2" l="1"/>
  <c r="E46" i="1" l="1"/>
  <c r="F46" i="1"/>
  <c r="G46" i="1"/>
  <c r="H46" i="1"/>
  <c r="I46" i="1"/>
  <c r="J46" i="1"/>
  <c r="K46" i="1"/>
  <c r="L46" i="1"/>
  <c r="M46" i="1"/>
  <c r="N46" i="1"/>
  <c r="O46" i="1"/>
  <c r="D17" i="1"/>
  <c r="E17" i="1"/>
  <c r="F17" i="1"/>
  <c r="G17" i="1"/>
  <c r="H17" i="1"/>
  <c r="I17" i="1"/>
  <c r="J17" i="1"/>
  <c r="K17" i="1"/>
  <c r="L17" i="1"/>
  <c r="M17" i="1"/>
  <c r="N17" i="1"/>
  <c r="O17" i="1"/>
  <c r="D9" i="1"/>
  <c r="D54" i="1" l="1"/>
  <c r="D46" i="1"/>
  <c r="D53" i="1" l="1"/>
  <c r="H10" i="1"/>
  <c r="E78" i="1"/>
  <c r="E10" i="1" s="1"/>
  <c r="F78" i="1"/>
  <c r="F10" i="1" s="1"/>
  <c r="G78" i="1"/>
  <c r="G10" i="1" s="1"/>
  <c r="H78" i="1"/>
  <c r="I78" i="1"/>
  <c r="I10" i="1" s="1"/>
  <c r="J78" i="1"/>
  <c r="J10" i="1" s="1"/>
  <c r="K78" i="1"/>
  <c r="K10" i="1" s="1"/>
  <c r="L78" i="1"/>
  <c r="L10" i="1" s="1"/>
  <c r="M78" i="1"/>
  <c r="M10" i="1" s="1"/>
  <c r="N78" i="1"/>
  <c r="N10" i="1" s="1"/>
  <c r="O78" i="1"/>
  <c r="O10" i="1" s="1"/>
  <c r="D78" i="1"/>
  <c r="D10" i="1" s="1"/>
  <c r="E5" i="1" l="1"/>
  <c r="E6" i="1" s="1"/>
  <c r="F5" i="1"/>
  <c r="G5" i="1"/>
  <c r="G8" i="1" s="1"/>
  <c r="H5" i="1"/>
  <c r="H8" i="1" s="1"/>
  <c r="I5" i="1"/>
  <c r="I8" i="1" s="1"/>
  <c r="J5" i="1"/>
  <c r="J8" i="1" s="1"/>
  <c r="K5" i="1"/>
  <c r="K8" i="1" s="1"/>
  <c r="L5" i="1"/>
  <c r="L8" i="1" s="1"/>
  <c r="M5" i="1"/>
  <c r="M8" i="1" s="1"/>
  <c r="N5" i="1"/>
  <c r="N6" i="1" s="1"/>
  <c r="O5" i="1"/>
  <c r="O8" i="1" s="1"/>
  <c r="O9" i="1"/>
  <c r="E9" i="1"/>
  <c r="F9" i="1"/>
  <c r="G9" i="1"/>
  <c r="H9" i="1"/>
  <c r="I9" i="1"/>
  <c r="J9" i="1"/>
  <c r="K9" i="1"/>
  <c r="L9" i="1"/>
  <c r="M9" i="1"/>
  <c r="N9" i="1"/>
  <c r="D5" i="1"/>
  <c r="D8" i="1" s="1"/>
  <c r="F6" i="1" l="1"/>
  <c r="F20" i="1" s="1"/>
  <c r="N7" i="1"/>
  <c r="N20" i="1"/>
  <c r="E7" i="1"/>
  <c r="E20" i="1"/>
  <c r="I6" i="1"/>
  <c r="J6" i="1"/>
  <c r="F8" i="1"/>
  <c r="F7" i="1"/>
  <c r="N8" i="1"/>
  <c r="N11" i="1" s="1"/>
  <c r="N13" i="1" s="1"/>
  <c r="D6" i="1"/>
  <c r="M6" i="1"/>
  <c r="G6" i="1"/>
  <c r="E8" i="1"/>
  <c r="K6" i="1"/>
  <c r="O6" i="1"/>
  <c r="L6" i="1"/>
  <c r="H6" i="1"/>
  <c r="B84" i="1"/>
  <c r="B83" i="1"/>
  <c r="B82" i="1"/>
  <c r="F11" i="1" l="1"/>
  <c r="F13" i="1" s="1"/>
  <c r="F14" i="1" s="1"/>
  <c r="F15" i="1" s="1"/>
  <c r="L7" i="1"/>
  <c r="L11" i="1" s="1"/>
  <c r="L13" i="1" s="1"/>
  <c r="L20" i="1"/>
  <c r="G7" i="1"/>
  <c r="G11" i="1" s="1"/>
  <c r="G13" i="1" s="1"/>
  <c r="G14" i="1" s="1"/>
  <c r="G15" i="1" s="1"/>
  <c r="G20" i="1"/>
  <c r="O7" i="1"/>
  <c r="O11" i="1" s="1"/>
  <c r="O13" i="1" s="1"/>
  <c r="O14" i="1" s="1"/>
  <c r="O20" i="1"/>
  <c r="M7" i="1"/>
  <c r="M11" i="1" s="1"/>
  <c r="M13" i="1" s="1"/>
  <c r="M14" i="1" s="1"/>
  <c r="M15" i="1" s="1"/>
  <c r="M20" i="1"/>
  <c r="K7" i="1"/>
  <c r="K11" i="1" s="1"/>
  <c r="K13" i="1" s="1"/>
  <c r="K14" i="1" s="1"/>
  <c r="K15" i="1" s="1"/>
  <c r="K20" i="1"/>
  <c r="D7" i="1"/>
  <c r="D11" i="1" s="1"/>
  <c r="D13" i="1" s="1"/>
  <c r="D20" i="1"/>
  <c r="J7" i="1"/>
  <c r="J11" i="1" s="1"/>
  <c r="J13" i="1" s="1"/>
  <c r="J14" i="1" s="1"/>
  <c r="J15" i="1" s="1"/>
  <c r="J20" i="1"/>
  <c r="H7" i="1"/>
  <c r="H11" i="1" s="1"/>
  <c r="H13" i="1" s="1"/>
  <c r="H20" i="1"/>
  <c r="E11" i="1"/>
  <c r="E13" i="1" s="1"/>
  <c r="E14" i="1" s="1"/>
  <c r="E15" i="1" s="1"/>
  <c r="I7" i="1"/>
  <c r="I11" i="1" s="1"/>
  <c r="I13" i="1" s="1"/>
  <c r="I14" i="1" s="1"/>
  <c r="I15" i="1" s="1"/>
  <c r="I20" i="1"/>
  <c r="N14" i="1"/>
  <c r="N15" i="1" s="1"/>
  <c r="L14" i="1"/>
  <c r="L15" i="1" s="1"/>
  <c r="D31" i="1" l="1"/>
  <c r="E31" i="1" s="1"/>
  <c r="F31" i="1" s="1"/>
  <c r="G31" i="1" s="1"/>
  <c r="H31" i="1" s="1"/>
  <c r="I31" i="1" s="1"/>
  <c r="J31" i="1" s="1"/>
  <c r="K31" i="1" s="1"/>
  <c r="L31" i="1" s="1"/>
  <c r="M31" i="1" s="1"/>
  <c r="N31" i="1" s="1"/>
  <c r="O31" i="1" s="1"/>
  <c r="D14" i="1"/>
  <c r="D15" i="1" s="1"/>
  <c r="D32" i="1" s="1"/>
  <c r="G39" i="1"/>
  <c r="G43" i="1" s="1"/>
  <c r="G55" i="1" s="1"/>
  <c r="I39" i="1"/>
  <c r="I43" i="1" s="1"/>
  <c r="I55" i="1" s="1"/>
  <c r="M39" i="1"/>
  <c r="M43" i="1" s="1"/>
  <c r="M55" i="1" s="1"/>
  <c r="E39" i="1"/>
  <c r="E43" i="1" s="1"/>
  <c r="E55" i="1" s="1"/>
  <c r="K39" i="1"/>
  <c r="K43" i="1" s="1"/>
  <c r="K55" i="1" s="1"/>
  <c r="N39" i="1"/>
  <c r="N43" i="1" s="1"/>
  <c r="N55" i="1" s="1"/>
  <c r="O15" i="1"/>
  <c r="J39" i="1"/>
  <c r="J43" i="1" s="1"/>
  <c r="J55" i="1" s="1"/>
  <c r="L39" i="1"/>
  <c r="L43" i="1" s="1"/>
  <c r="L55" i="1" s="1"/>
  <c r="H14" i="1"/>
  <c r="H15" i="1" s="1"/>
  <c r="F39" i="1"/>
  <c r="F43" i="1" s="1"/>
  <c r="F55" i="1" s="1"/>
  <c r="D39" i="1" l="1"/>
  <c r="D43" i="1" s="1"/>
  <c r="D55" i="1" s="1"/>
  <c r="D56" i="1" s="1"/>
  <c r="D33" i="1"/>
  <c r="D35" i="1" s="1"/>
  <c r="E32" i="1"/>
  <c r="H39" i="1"/>
  <c r="H43" i="1" s="1"/>
  <c r="H55" i="1" s="1"/>
  <c r="O39" i="1"/>
  <c r="O43" i="1" s="1"/>
  <c r="O55" i="1" s="1"/>
  <c r="F32" i="1" l="1"/>
  <c r="E33" i="1"/>
  <c r="E35" i="1" s="1"/>
  <c r="D18" i="1" l="1"/>
  <c r="D21" i="1" s="1"/>
  <c r="D22" i="1" s="1"/>
  <c r="D36" i="1" s="1"/>
  <c r="E54" i="1"/>
  <c r="E56" i="1" s="1"/>
  <c r="F54" i="1" s="1"/>
  <c r="F56" i="1" s="1"/>
  <c r="G54" i="1" s="1"/>
  <c r="G56" i="1" s="1"/>
  <c r="G32" i="1"/>
  <c r="F33" i="1"/>
  <c r="F35" i="1" s="1"/>
  <c r="E18" i="1" l="1"/>
  <c r="E21" i="1" s="1"/>
  <c r="E22" i="1" s="1"/>
  <c r="E36" i="1" s="1"/>
  <c r="F18" i="1"/>
  <c r="F21" i="1" s="1"/>
  <c r="F22" i="1" s="1"/>
  <c r="F36" i="1" s="1"/>
  <c r="H32" i="1"/>
  <c r="G33" i="1"/>
  <c r="G35" i="1" s="1"/>
  <c r="H54" i="1"/>
  <c r="H56" i="1" s="1"/>
  <c r="G18" i="1"/>
  <c r="G21" i="1" s="1"/>
  <c r="G22" i="1" s="1"/>
  <c r="I32" i="1" l="1"/>
  <c r="H33" i="1"/>
  <c r="H35" i="1" s="1"/>
  <c r="G36" i="1"/>
  <c r="I54" i="1"/>
  <c r="I56" i="1" s="1"/>
  <c r="H18" i="1"/>
  <c r="H21" i="1" s="1"/>
  <c r="H22" i="1" s="1"/>
  <c r="H36" i="1" l="1"/>
  <c r="J32" i="1"/>
  <c r="I33" i="1"/>
  <c r="I35" i="1" s="1"/>
  <c r="J54" i="1"/>
  <c r="J56" i="1" s="1"/>
  <c r="I18" i="1"/>
  <c r="I21" i="1" s="1"/>
  <c r="I22" i="1" s="1"/>
  <c r="K32" i="1" l="1"/>
  <c r="J33" i="1"/>
  <c r="J35" i="1" s="1"/>
  <c r="I36" i="1"/>
  <c r="K54" i="1"/>
  <c r="K56" i="1" s="1"/>
  <c r="J18" i="1"/>
  <c r="J21" i="1" s="1"/>
  <c r="J22" i="1" s="1"/>
  <c r="J36" i="1" l="1"/>
  <c r="L32" i="1"/>
  <c r="K33" i="1"/>
  <c r="K35" i="1" s="1"/>
  <c r="L54" i="1"/>
  <c r="L56" i="1" s="1"/>
  <c r="K18" i="1"/>
  <c r="K21" i="1" s="1"/>
  <c r="K22" i="1" s="1"/>
  <c r="M32" i="1" l="1"/>
  <c r="L33" i="1"/>
  <c r="L35" i="1" s="1"/>
  <c r="K36" i="1"/>
  <c r="M54" i="1"/>
  <c r="M56" i="1" s="1"/>
  <c r="L18" i="1"/>
  <c r="L21" i="1" s="1"/>
  <c r="L22" i="1" s="1"/>
  <c r="L36" i="1" l="1"/>
  <c r="N32" i="1"/>
  <c r="M33" i="1"/>
  <c r="M35" i="1" s="1"/>
  <c r="N54" i="1"/>
  <c r="N56" i="1" s="1"/>
  <c r="M18" i="1"/>
  <c r="M21" i="1" s="1"/>
  <c r="M22" i="1" s="1"/>
  <c r="O32" i="1" l="1"/>
  <c r="O33" i="1" s="1"/>
  <c r="O35" i="1" s="1"/>
  <c r="N33" i="1"/>
  <c r="N35" i="1" s="1"/>
  <c r="M36" i="1"/>
  <c r="O54" i="1"/>
  <c r="O56" i="1" s="1"/>
  <c r="C13" i="2" s="1"/>
  <c r="N18" i="1"/>
  <c r="N21" i="1" s="1"/>
  <c r="N22" i="1" s="1"/>
  <c r="N36" i="1" l="1"/>
  <c r="O18" i="1"/>
  <c r="O21" i="1" s="1"/>
  <c r="O22" i="1" s="1"/>
  <c r="O36" i="1" s="1"/>
  <c r="C10" i="2" s="1"/>
  <c r="C1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Career Principles</author>
  </authors>
  <commentList>
    <comment ref="C6" authorId="0" shapeId="0" xr:uid="{4FD98038-90B6-46AA-960E-A6BFE968B6C5}">
      <text>
        <r>
          <rPr>
            <b/>
            <sz val="9"/>
            <color indexed="81"/>
            <rFont val="Tahoma"/>
            <family val="2"/>
          </rPr>
          <t>Career Principles:</t>
        </r>
        <r>
          <rPr>
            <sz val="9"/>
            <color indexed="81"/>
            <rFont val="Tahoma"/>
            <family val="2"/>
          </rPr>
          <t xml:space="preserve">
1 = base case
2 = best case
3 = worst case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ACER</author>
  </authors>
  <commentList>
    <comment ref="B46" authorId="0" shapeId="0" xr:uid="{AEEF411E-6803-4D85-916B-1DEF29BDF9E9}">
      <text>
        <r>
          <rPr>
            <b/>
            <sz val="9"/>
            <color indexed="81"/>
            <rFont val="Tahoma"/>
            <family val="2"/>
          </rPr>
          <t>Model built for portfolio demonstration purposes. Figures simulate a Nigerian DTC 
brand operating at scale. Assumptions derived from real operator experience in the 
Nigerian e-commerce market.</t>
        </r>
      </text>
    </comment>
  </commentList>
</comments>
</file>

<file path=xl/sharedStrings.xml><?xml version="1.0" encoding="utf-8"?>
<sst xmlns="http://schemas.openxmlformats.org/spreadsheetml/2006/main" count="199" uniqueCount="155">
  <si>
    <t>3 Statement Financial Model</t>
  </si>
  <si>
    <t>X</t>
  </si>
  <si>
    <t>Income Statement</t>
  </si>
  <si>
    <t>Revenue</t>
  </si>
  <si>
    <t>COGS</t>
  </si>
  <si>
    <t>Gross Profit</t>
  </si>
  <si>
    <t>Depreciation</t>
  </si>
  <si>
    <t>Operating Profit</t>
  </si>
  <si>
    <t>Interest</t>
  </si>
  <si>
    <t>Earnings Before Tax</t>
  </si>
  <si>
    <t>Taxes</t>
  </si>
  <si>
    <t>Net Income</t>
  </si>
  <si>
    <t>Balance Sheet</t>
  </si>
  <si>
    <t>Cash &amp; Cash Equivalents</t>
  </si>
  <si>
    <t>Accounts Receivable</t>
  </si>
  <si>
    <t>Inventory</t>
  </si>
  <si>
    <t>Total Current Assets</t>
  </si>
  <si>
    <t>Total Assets</t>
  </si>
  <si>
    <t>Accounts Payable</t>
  </si>
  <si>
    <t>Revolver</t>
  </si>
  <si>
    <t>Total Current Liabilities</t>
  </si>
  <si>
    <t>Long Term Debt</t>
  </si>
  <si>
    <t>Total Liabilities</t>
  </si>
  <si>
    <t>Retained Earnings</t>
  </si>
  <si>
    <t>Total Shareholders' Equity</t>
  </si>
  <si>
    <t>Total Liabilities &amp; Equity</t>
  </si>
  <si>
    <t>Balance Sheet Check</t>
  </si>
  <si>
    <t>Cash Flow Statement</t>
  </si>
  <si>
    <t>Change in Inventory</t>
  </si>
  <si>
    <t>Change in Accounts Payable</t>
  </si>
  <si>
    <t>Cash Flow from Operating Activities</t>
  </si>
  <si>
    <t>Capital Expenditures</t>
  </si>
  <si>
    <t>Cash Flow from Investing Activities</t>
  </si>
  <si>
    <t>Change in LT Debt</t>
  </si>
  <si>
    <t>Change in Revolver</t>
  </si>
  <si>
    <t>Change in Common Stock</t>
  </si>
  <si>
    <t>Dividends</t>
  </si>
  <si>
    <t>Cash Flow from Financing Activities</t>
  </si>
  <si>
    <t>Change in Cash</t>
  </si>
  <si>
    <t>Assumptions</t>
  </si>
  <si>
    <t>Income Statement Assumptions</t>
  </si>
  <si>
    <t>Units Sold</t>
  </si>
  <si>
    <t>Price per Unit</t>
  </si>
  <si>
    <t>COGS as a % of Rev</t>
  </si>
  <si>
    <t>Tax Rate</t>
  </si>
  <si>
    <t xml:space="preserve">COGS </t>
  </si>
  <si>
    <t>Balance Sheet Assumptions</t>
  </si>
  <si>
    <t>Interest Expense %</t>
  </si>
  <si>
    <t>Interest Expense</t>
  </si>
  <si>
    <t>Supporting Schedules</t>
  </si>
  <si>
    <t>Fixed Assets Schedule</t>
  </si>
  <si>
    <t>Capex</t>
  </si>
  <si>
    <t>Existing Assets Useful Life (years)</t>
  </si>
  <si>
    <t>New Assets Useful Life (years)</t>
  </si>
  <si>
    <t>PP&amp;E 2023 EOP</t>
  </si>
  <si>
    <t>Existing Asset Depreciation</t>
  </si>
  <si>
    <t>New Assets Depreciation</t>
  </si>
  <si>
    <t>Total Depreciation</t>
  </si>
  <si>
    <t>Beginning PPE</t>
  </si>
  <si>
    <t>Ending PPE</t>
  </si>
  <si>
    <t>Retained Earnings Schedule</t>
  </si>
  <si>
    <t>Beginning of Period RE</t>
  </si>
  <si>
    <t>End of Period RE</t>
  </si>
  <si>
    <t>Available Cash</t>
  </si>
  <si>
    <t>Beginning Cash Balance</t>
  </si>
  <si>
    <t>Cash from operations</t>
  </si>
  <si>
    <t>Cash from Investing</t>
  </si>
  <si>
    <t>Cash Available for Revolver</t>
  </si>
  <si>
    <t>Beginning Balance</t>
  </si>
  <si>
    <t>Ending Balance</t>
  </si>
  <si>
    <t>Revolver Interest Rate</t>
  </si>
  <si>
    <t>Total Interest Expense</t>
  </si>
  <si>
    <t>Figures in naira</t>
  </si>
  <si>
    <t>January</t>
  </si>
  <si>
    <t>February</t>
  </si>
  <si>
    <t>March</t>
  </si>
  <si>
    <t>April</t>
  </si>
  <si>
    <t>May</t>
  </si>
  <si>
    <t>June</t>
  </si>
  <si>
    <t>July</t>
  </si>
  <si>
    <t>August</t>
  </si>
  <si>
    <t>September</t>
  </si>
  <si>
    <t>October</t>
  </si>
  <si>
    <t>November</t>
  </si>
  <si>
    <t>December</t>
  </si>
  <si>
    <t>Ad Spend</t>
  </si>
  <si>
    <t>Fixed OpEx</t>
  </si>
  <si>
    <t>Logistics cost per order</t>
  </si>
  <si>
    <t xml:space="preserve">RTO Rate </t>
  </si>
  <si>
    <t>Logistics Costs</t>
  </si>
  <si>
    <t>Ads spent as a % of Rev</t>
  </si>
  <si>
    <t>RTO cost per order</t>
  </si>
  <si>
    <t>Fixed OpEx Assumptions</t>
  </si>
  <si>
    <t xml:space="preserve">Salaries </t>
  </si>
  <si>
    <t>Warehouse/Rent</t>
  </si>
  <si>
    <t>CRM &amp; Tools</t>
  </si>
  <si>
    <t>Total Fixed OpEx</t>
  </si>
  <si>
    <t>Change in Accounts Recievable</t>
  </si>
  <si>
    <t>End of Month Cash Balance</t>
  </si>
  <si>
    <t>Beginning of Month Cash Balance</t>
  </si>
  <si>
    <t>Opening  Capital</t>
  </si>
  <si>
    <t>Scenario Analysis</t>
  </si>
  <si>
    <t>General Settings</t>
  </si>
  <si>
    <t>Table of Contents</t>
  </si>
  <si>
    <t>Company Name</t>
  </si>
  <si>
    <t>Cover Page</t>
  </si>
  <si>
    <t>Alerts</t>
  </si>
  <si>
    <t>Currency</t>
  </si>
  <si>
    <t>Last Update</t>
  </si>
  <si>
    <t>Balance Sheet Balances?</t>
  </si>
  <si>
    <t>Contact</t>
  </si>
  <si>
    <t>Assumptions &amp; Drivers</t>
  </si>
  <si>
    <t>DTC</t>
  </si>
  <si>
    <t>Active  Scenario</t>
  </si>
  <si>
    <t>NAIRA</t>
  </si>
  <si>
    <t>Company Sector</t>
  </si>
  <si>
    <t>Ecommerce</t>
  </si>
  <si>
    <t>Tobou Egbekun</t>
  </si>
  <si>
    <t>Cash Position</t>
  </si>
  <si>
    <t>Runway Remanining</t>
  </si>
  <si>
    <t>Month</t>
  </si>
  <si>
    <t>Base Case</t>
  </si>
  <si>
    <t>Best Case</t>
  </si>
  <si>
    <t>3-Statement Financial Model | Nigerian E-commerce | 12-Month Projection</t>
  </si>
  <si>
    <t>DTC Clarity Financial Model</t>
  </si>
  <si>
    <t>Built by: Tobou Egbekun | Analytics Engineer &amp; Financial Modeler</t>
  </si>
  <si>
    <t>OVERVIEW</t>
  </si>
  <si>
    <t>This model stress tests the financial survival of a Nigerian DTC brand operating at ₦40M monthly revenue across three distinct scenarios. The analysis quantifies cash runway, profitability thresholds, and insolvency risk under real market conditions including RTO volatility, logistics cost inflation, and Meta ad spend pressure.</t>
  </si>
  <si>
    <t>KEY ASSUMPTIONS</t>
  </si>
  <si>
    <t>Assumption</t>
  </si>
  <si>
    <t>Monthly Orders</t>
  </si>
  <si>
    <t>Average Order Value</t>
  </si>
  <si>
    <t>Monthly Revenue</t>
  </si>
  <si>
    <t>COGS %</t>
  </si>
  <si>
    <t>Ad Spend %</t>
  </si>
  <si>
    <t>RTO Rate</t>
  </si>
  <si>
    <t>Logistics per Order</t>
  </si>
  <si>
    <t>Worst Case</t>
  </si>
  <si>
    <t>SCENARIO OUTCOMES</t>
  </si>
  <si>
    <t>Metric</t>
  </si>
  <si>
    <t>Monthly Net Income</t>
  </si>
  <si>
    <t>Year End Cash</t>
  </si>
  <si>
    <t>150M+</t>
  </si>
  <si>
    <t>Loss</t>
  </si>
  <si>
    <t>Cash Runway</t>
  </si>
  <si>
    <t>Survival Status</t>
  </si>
  <si>
    <t>Healthy</t>
  </si>
  <si>
    <t>Insolvent</t>
  </si>
  <si>
    <t>13.7 months</t>
  </si>
  <si>
    <t>12 months</t>
  </si>
  <si>
    <t>KEY FINDINGS</t>
  </si>
  <si>
    <t>1. The business is profitable and cash generative under Base and Best Case scenarios, 
accumulating between ₦66M and ₦150M in cash by December from an ₦8M opening position.
2. A simultaneous RTO spike to 35%, ad spend pressure to 45%, and logistics cost 
doubling to ₦5,000 per order renders the business insolvent within 60 days — 
producing a ₦36M cash deficit by December.
3. The primary survival lever is RTO rate. At 35% RTO, logistics costs alone consume 
₦147M annually on 2,000 monthly orders — before a single naira is spent on ads or 
operations.</t>
  </si>
  <si>
    <t>STRATEGIC RECOMMENDATIONS</t>
  </si>
  <si>
    <t>1. BEST CASE: Scale aggressively. Reinvest excess cash into inventory expansion 
and geographic market development. Consider reducing ad spend % as organic 
growth compounds.
2. BASE CASE: Protect margins. Monitor RTO rate weekly as the leading indicator 
of financial health. Build cash reserves toward ₦20M minimum buffer before 
considering any dividend or expansion spend.
3. WORST CASE: Immediate intervention required. Suspend Meta ad spend, 
implement order verification protocols to reduce RTO, renegotiate logistics 
rates or switch providers. The business has less than 60 days before 
insolvency without intervention.</t>
  </si>
  <si>
    <t>Worse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</si>
</sst>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A"/>
    <numFmt numFmtId="165" formatCode="0\F"/>
    <numFmt numFmtId="166" formatCode="_(#,##0_);\(#,##0\);_(&quot;–&quot;_);_(@_)"/>
    <numFmt numFmtId="167" formatCode="_(* #,##0_);_(* \(#,##0\);_(* &quot;-&quot;??_);_(@_)"/>
    <numFmt numFmtId="168" formatCode="0.0%"/>
  </numFmts>
  <fonts count="12" x14ac:knownFonts="1">
    <font>
      <sz val="11"/>
      <color theme="1"/>
      <name val="Aptos Narrow"/>
      <family val="2"/>
      <scheme val="minor"/>
    </font>
    <font>
      <sz val="11"/>
      <color theme="1"/>
      <name val="Aptos Narrow"/>
      <family val="2"/>
      <scheme val="minor"/>
    </font>
    <font>
      <b/>
      <sz val="22"/>
      <color theme="0"/>
      <name val="Aptos Narrow"/>
      <family val="2"/>
      <scheme val="minor"/>
    </font>
    <font>
      <b/>
      <sz val="12"/>
      <color theme="0"/>
      <name val="Aptos Narrow"/>
      <family val="2"/>
      <scheme val="minor"/>
    </font>
    <font>
      <i/>
      <sz val="12"/>
      <color theme="1"/>
      <name val="Aptos Narrow"/>
      <family val="2"/>
      <scheme val="minor"/>
    </font>
    <font>
      <b/>
      <sz val="12"/>
      <color theme="1"/>
      <name val="Aptos Narrow"/>
      <family val="2"/>
      <scheme val="minor"/>
    </font>
    <font>
      <sz val="12"/>
      <color rgb="FF0432FF"/>
      <name val="Aptos Narrow"/>
      <family val="2"/>
      <scheme val="minor"/>
    </font>
    <font>
      <sz val="8"/>
      <name val="Aptos Narrow"/>
      <family val="2"/>
      <scheme val="minor"/>
    </font>
    <font>
      <u/>
      <sz val="11"/>
      <color theme="10"/>
      <name val="Aptos Narrow"/>
      <family val="2"/>
      <scheme val="minor"/>
    </font>
    <font>
      <b/>
      <sz val="28"/>
      <color theme="1"/>
      <name val="Aptos Narrow"/>
      <family val="2"/>
      <scheme val="minor"/>
    </font>
    <font>
      <b/>
      <sz val="9"/>
      <color indexed="81"/>
      <name val="Tahoma"/>
      <family val="2"/>
    </font>
    <font>
      <sz val="9"/>
      <color indexed="81"/>
      <name val="Tahoma"/>
      <family val="2"/>
    </font>
  </fonts>
  <fills count="13">
    <fill>
      <patternFill patternType="none"/>
    </fill>
    <fill>
      <patternFill patternType="gray125"/>
    </fill>
    <fill>
      <patternFill patternType="solid">
        <fgColor rgb="FF073673"/>
        <bgColor indexed="64"/>
      </patternFill>
    </fill>
    <fill>
      <patternFill patternType="solid">
        <fgColor theme="4" tint="0.79998168889431442"/>
        <bgColor indexed="64"/>
      </patternFill>
    </fill>
    <fill>
      <patternFill patternType="solid">
        <fgColor theme="0"/>
        <bgColor indexed="64"/>
      </patternFill>
    </fill>
    <fill>
      <patternFill patternType="solid">
        <fgColor rgb="FFFFFF99"/>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2"/>
        <bgColor indexed="64"/>
      </patternFill>
    </fill>
    <fill>
      <patternFill patternType="solid">
        <fgColor theme="5" tint="0.79998168889431442"/>
        <bgColor indexed="64"/>
      </patternFill>
    </fill>
    <fill>
      <patternFill patternType="solid">
        <fgColor rgb="FF00B050"/>
        <bgColor indexed="64"/>
      </patternFill>
    </fill>
    <fill>
      <patternFill patternType="solid">
        <fgColor rgb="FFFF0000"/>
        <bgColor indexed="64"/>
      </patternFill>
    </fill>
    <fill>
      <patternFill patternType="solid">
        <fgColor rgb="FF00B0F0"/>
        <bgColor indexed="64"/>
      </patternFill>
    </fill>
  </fills>
  <borders count="5">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applyNumberFormat="0" applyFill="0" applyBorder="0" applyAlignment="0" applyProtection="0"/>
  </cellStyleXfs>
  <cellXfs count="54">
    <xf numFmtId="0" fontId="0" fillId="0" borderId="0" xfId="0"/>
    <xf numFmtId="0" fontId="2" fillId="2" borderId="0" xfId="0" applyFont="1" applyFill="1" applyAlignment="1">
      <alignment horizontal="left" vertical="center" indent="1"/>
    </xf>
    <xf numFmtId="0" fontId="0" fillId="2" borderId="0" xfId="0" applyFill="1"/>
    <xf numFmtId="0" fontId="3" fillId="2" borderId="0" xfId="0" applyFont="1" applyFill="1" applyAlignment="1">
      <alignment vertical="center"/>
    </xf>
    <xf numFmtId="0" fontId="4" fillId="3" borderId="0" xfId="0" applyFont="1" applyFill="1"/>
    <xf numFmtId="164" fontId="0" fillId="3" borderId="0" xfId="0" applyNumberFormat="1" applyFill="1" applyAlignment="1">
      <alignment horizontal="center"/>
    </xf>
    <xf numFmtId="165" fontId="0" fillId="3" borderId="0" xfId="0" applyNumberFormat="1" applyFill="1" applyAlignment="1">
      <alignment horizontal="center"/>
    </xf>
    <xf numFmtId="166" fontId="0" fillId="0" borderId="0" xfId="0" applyNumberFormat="1"/>
    <xf numFmtId="167" fontId="0" fillId="0" borderId="0" xfId="1" applyNumberFormat="1" applyFont="1"/>
    <xf numFmtId="0" fontId="5" fillId="0" borderId="1" xfId="0" applyFont="1" applyBorder="1"/>
    <xf numFmtId="166" fontId="5" fillId="0" borderId="1" xfId="0" applyNumberFormat="1" applyFont="1" applyBorder="1"/>
    <xf numFmtId="166" fontId="6" fillId="0" borderId="0" xfId="0" applyNumberFormat="1" applyFont="1"/>
    <xf numFmtId="0" fontId="5" fillId="5" borderId="2" xfId="0" applyFont="1" applyFill="1" applyBorder="1"/>
    <xf numFmtId="166" fontId="5" fillId="5" borderId="2" xfId="0" applyNumberFormat="1" applyFont="1" applyFill="1" applyBorder="1"/>
    <xf numFmtId="166" fontId="0" fillId="6" borderId="0" xfId="0" applyNumberFormat="1" applyFill="1"/>
    <xf numFmtId="166" fontId="0" fillId="7" borderId="0" xfId="0" applyNumberFormat="1" applyFill="1"/>
    <xf numFmtId="0" fontId="5" fillId="0" borderId="2" xfId="0" applyFont="1" applyBorder="1"/>
    <xf numFmtId="166" fontId="5" fillId="0" borderId="2" xfId="0" applyNumberFormat="1" applyFont="1" applyBorder="1"/>
    <xf numFmtId="0" fontId="4" fillId="8" borderId="0" xfId="0" applyFont="1" applyFill="1"/>
    <xf numFmtId="0" fontId="5" fillId="0" borderId="0" xfId="0" applyFont="1"/>
    <xf numFmtId="166" fontId="5" fillId="0" borderId="0" xfId="0" applyNumberFormat="1" applyFont="1"/>
    <xf numFmtId="0" fontId="5" fillId="3" borderId="0" xfId="0" applyFont="1" applyFill="1"/>
    <xf numFmtId="0" fontId="0" fillId="3" borderId="0" xfId="0" applyFill="1"/>
    <xf numFmtId="1" fontId="6" fillId="0" borderId="0" xfId="0" applyNumberFormat="1" applyFont="1"/>
    <xf numFmtId="168" fontId="6" fillId="0" borderId="0" xfId="2" applyNumberFormat="1" applyFont="1"/>
    <xf numFmtId="168" fontId="6" fillId="0" borderId="0" xfId="0" applyNumberFormat="1" applyFont="1"/>
    <xf numFmtId="168" fontId="0" fillId="0" borderId="0" xfId="2" applyNumberFormat="1" applyFont="1"/>
    <xf numFmtId="168" fontId="0" fillId="0" borderId="0" xfId="0" applyNumberFormat="1"/>
    <xf numFmtId="0" fontId="6" fillId="0" borderId="0" xfId="0" applyFont="1"/>
    <xf numFmtId="166" fontId="6" fillId="0" borderId="1" xfId="0" applyNumberFormat="1" applyFont="1" applyBorder="1"/>
    <xf numFmtId="166" fontId="0" fillId="4" borderId="1" xfId="0" applyNumberFormat="1" applyFill="1" applyBorder="1"/>
    <xf numFmtId="9" fontId="6" fillId="0" borderId="0" xfId="2" applyFont="1"/>
    <xf numFmtId="9" fontId="6" fillId="0" borderId="0" xfId="0" applyNumberFormat="1" applyFont="1"/>
    <xf numFmtId="167" fontId="6" fillId="0" borderId="0" xfId="1" applyNumberFormat="1" applyFont="1"/>
    <xf numFmtId="0" fontId="9" fillId="0" borderId="3" xfId="0" applyFont="1" applyBorder="1"/>
    <xf numFmtId="0" fontId="0" fillId="0" borderId="3" xfId="0" applyBorder="1"/>
    <xf numFmtId="17" fontId="3" fillId="2" borderId="0" xfId="0" applyNumberFormat="1" applyFont="1" applyFill="1" applyAlignment="1">
      <alignment horizontal="left"/>
    </xf>
    <xf numFmtId="17" fontId="3" fillId="2" borderId="0" xfId="0" applyNumberFormat="1" applyFont="1" applyFill="1" applyAlignment="1">
      <alignment horizontal="center"/>
    </xf>
    <xf numFmtId="17" fontId="3" fillId="0" borderId="0" xfId="0" applyNumberFormat="1" applyFont="1" applyAlignment="1">
      <alignment horizontal="left"/>
    </xf>
    <xf numFmtId="17" fontId="3" fillId="0" borderId="0" xfId="0" applyNumberFormat="1" applyFont="1" applyAlignment="1">
      <alignment horizontal="center"/>
    </xf>
    <xf numFmtId="0" fontId="5" fillId="9" borderId="4" xfId="0" applyFont="1" applyFill="1" applyBorder="1" applyAlignment="1">
      <alignment horizontal="center"/>
    </xf>
    <xf numFmtId="0" fontId="0" fillId="0" borderId="4" xfId="0" applyBorder="1" applyAlignment="1">
      <alignment horizontal="center"/>
    </xf>
    <xf numFmtId="0" fontId="0" fillId="0" borderId="0" xfId="0" applyAlignment="1">
      <alignment horizontal="center"/>
    </xf>
    <xf numFmtId="0" fontId="8" fillId="0" borderId="0" xfId="3"/>
    <xf numFmtId="14" fontId="0" fillId="0" borderId="4" xfId="0" applyNumberFormat="1" applyBorder="1" applyAlignment="1">
      <alignment horizontal="center"/>
    </xf>
    <xf numFmtId="0" fontId="5" fillId="0" borderId="4" xfId="0" applyFont="1" applyBorder="1" applyAlignment="1">
      <alignment horizontal="center"/>
    </xf>
    <xf numFmtId="165" fontId="0" fillId="10" borderId="0" xfId="0" applyNumberFormat="1" applyFill="1" applyAlignment="1">
      <alignment horizontal="center"/>
    </xf>
    <xf numFmtId="165" fontId="0" fillId="11" borderId="0" xfId="0" applyNumberFormat="1" applyFill="1" applyAlignment="1">
      <alignment horizontal="center"/>
    </xf>
    <xf numFmtId="165" fontId="0" fillId="12" borderId="0" xfId="0" applyNumberFormat="1" applyFill="1" applyAlignment="1">
      <alignment horizontal="center"/>
    </xf>
    <xf numFmtId="0" fontId="0" fillId="0" borderId="0" xfId="0" applyAlignment="1">
      <alignment wrapText="1"/>
    </xf>
    <xf numFmtId="3" fontId="0" fillId="0" borderId="0" xfId="0" applyNumberFormat="1"/>
    <xf numFmtId="9" fontId="0" fillId="0" borderId="0" xfId="0" applyNumberFormat="1"/>
    <xf numFmtId="1" fontId="0" fillId="0" borderId="0" xfId="0" applyNumberFormat="1"/>
    <xf numFmtId="17" fontId="3" fillId="2" borderId="4" xfId="0" applyNumberFormat="1" applyFont="1" applyFill="1" applyBorder="1" applyAlignment="1">
      <alignment horizontal="left"/>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DTC</a:t>
            </a:r>
            <a:r>
              <a:rPr lang="en-US" baseline="0"/>
              <a:t> financial model</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Calc!$B$1</c:f>
              <c:strCache>
                <c:ptCount val="1"/>
                <c:pt idx="0">
                  <c:v>Base Case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Calc!$A$2:$A$13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Calc!$B$2:$B$13</c:f>
              <c:numCache>
                <c:formatCode>_(* #,##0_);_(* \(#,##0\);_(* "-"??_);_(@_)</c:formatCode>
                <c:ptCount val="12"/>
                <c:pt idx="0">
                  <c:v>12830000</c:v>
                </c:pt>
                <c:pt idx="1">
                  <c:v>17660000</c:v>
                </c:pt>
                <c:pt idx="2">
                  <c:v>22490000</c:v>
                </c:pt>
                <c:pt idx="3">
                  <c:v>27320000</c:v>
                </c:pt>
                <c:pt idx="4">
                  <c:v>32150000</c:v>
                </c:pt>
                <c:pt idx="5">
                  <c:v>36980000</c:v>
                </c:pt>
                <c:pt idx="6">
                  <c:v>41810000</c:v>
                </c:pt>
                <c:pt idx="7">
                  <c:v>46640000</c:v>
                </c:pt>
                <c:pt idx="8">
                  <c:v>51470000</c:v>
                </c:pt>
                <c:pt idx="9">
                  <c:v>56300000</c:v>
                </c:pt>
                <c:pt idx="10">
                  <c:v>61130000</c:v>
                </c:pt>
                <c:pt idx="11">
                  <c:v>65960000</c:v>
                </c:pt>
              </c:numCache>
            </c:numRef>
          </c:val>
          <c:smooth val="0"/>
          <c:extLst>
            <c:ext xmlns:c16="http://schemas.microsoft.com/office/drawing/2014/chart" uri="{C3380CC4-5D6E-409C-BE32-E72D297353CC}">
              <c16:uniqueId val="{00000000-CD94-43A8-AAC7-FEC30C93A772}"/>
            </c:ext>
          </c:extLst>
        </c:ser>
        <c:ser>
          <c:idx val="1"/>
          <c:order val="1"/>
          <c:tx>
            <c:strRef>
              <c:f>Calc!$C$1</c:f>
              <c:strCache>
                <c:ptCount val="1"/>
                <c:pt idx="0">
                  <c:v>Best Case</c:v>
                </c:pt>
              </c:strCache>
            </c:strRef>
          </c:tx>
          <c:spPr>
            <a:ln w="22225" cap="rnd">
              <a:solidFill>
                <a:schemeClr val="accent2"/>
              </a:solidFill>
              <a:round/>
            </a:ln>
            <a:effectLst/>
          </c:spPr>
          <c:marker>
            <c:symbol val="square"/>
            <c:size val="6"/>
            <c:spPr>
              <a:solidFill>
                <a:schemeClr val="accent6">
                  <a:lumMod val="75000"/>
                </a:schemeClr>
              </a:solidFill>
              <a:ln w="9525">
                <a:solidFill>
                  <a:schemeClr val="accent2"/>
                </a:solidFill>
                <a:round/>
              </a:ln>
              <a:effectLst/>
            </c:spPr>
          </c:marker>
          <c:cat>
            <c:strRef>
              <c:f>Calc!$A$2:$A$13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Calc!$C$2:$C$13</c:f>
              <c:numCache>
                <c:formatCode>_(* #,##0_);_(* \(#,##0\);_(* "-"??_);_(@_)</c:formatCode>
                <c:ptCount val="12"/>
                <c:pt idx="0">
                  <c:v>19655000</c:v>
                </c:pt>
                <c:pt idx="1">
                  <c:v>31310000</c:v>
                </c:pt>
                <c:pt idx="2">
                  <c:v>42965000</c:v>
                </c:pt>
                <c:pt idx="3">
                  <c:v>54620000</c:v>
                </c:pt>
                <c:pt idx="4">
                  <c:v>66275000</c:v>
                </c:pt>
                <c:pt idx="5">
                  <c:v>77930000</c:v>
                </c:pt>
                <c:pt idx="6">
                  <c:v>89585000</c:v>
                </c:pt>
                <c:pt idx="7">
                  <c:v>101240000</c:v>
                </c:pt>
                <c:pt idx="8">
                  <c:v>112895000</c:v>
                </c:pt>
                <c:pt idx="9">
                  <c:v>124550000</c:v>
                </c:pt>
                <c:pt idx="10">
                  <c:v>136205000</c:v>
                </c:pt>
                <c:pt idx="11">
                  <c:v>147860000</c:v>
                </c:pt>
              </c:numCache>
            </c:numRef>
          </c:val>
          <c:smooth val="0"/>
          <c:extLst>
            <c:ext xmlns:c16="http://schemas.microsoft.com/office/drawing/2014/chart" uri="{C3380CC4-5D6E-409C-BE32-E72D297353CC}">
              <c16:uniqueId val="{00000001-CD94-43A8-AAC7-FEC30C93A772}"/>
            </c:ext>
          </c:extLst>
        </c:ser>
        <c:ser>
          <c:idx val="2"/>
          <c:order val="2"/>
          <c:tx>
            <c:strRef>
              <c:f>Calc!$D$1</c:f>
              <c:strCache>
                <c:ptCount val="1"/>
                <c:pt idx="0">
                  <c:v>Worse case</c:v>
                </c:pt>
              </c:strCache>
            </c:strRef>
          </c:tx>
          <c:spPr>
            <a:ln w="22225" cap="rnd">
              <a:solidFill>
                <a:srgbClr val="FF0000"/>
              </a:solidFill>
              <a:round/>
            </a:ln>
            <a:effectLst/>
          </c:spPr>
          <c:marker>
            <c:symbol val="triangle"/>
            <c:size val="6"/>
            <c:spPr>
              <a:solidFill>
                <a:srgbClr val="C00000"/>
              </a:solidFill>
              <a:ln w="9525">
                <a:solidFill>
                  <a:srgbClr val="FF0000"/>
                </a:solidFill>
                <a:round/>
              </a:ln>
              <a:effectLst/>
            </c:spPr>
          </c:marker>
          <c:cat>
            <c:strRef>
              <c:f>Calc!$A$2:$A$13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Calc!$D$2:$D$13</c:f>
              <c:numCache>
                <c:formatCode>_(* #,##0_);_(* \(#,##0\);_(* "-"??_);_(@_)</c:formatCode>
                <c:ptCount val="12"/>
                <c:pt idx="0">
                  <c:v>4330000</c:v>
                </c:pt>
                <c:pt idx="1">
                  <c:v>660000</c:v>
                </c:pt>
                <c:pt idx="2">
                  <c:v>-3010000</c:v>
                </c:pt>
                <c:pt idx="3">
                  <c:v>-6680000</c:v>
                </c:pt>
                <c:pt idx="4">
                  <c:v>-10350000</c:v>
                </c:pt>
                <c:pt idx="5">
                  <c:v>-14020000</c:v>
                </c:pt>
                <c:pt idx="6">
                  <c:v>-17690000</c:v>
                </c:pt>
                <c:pt idx="7">
                  <c:v>-21360000</c:v>
                </c:pt>
                <c:pt idx="8">
                  <c:v>-25030000</c:v>
                </c:pt>
                <c:pt idx="9">
                  <c:v>-28700000</c:v>
                </c:pt>
                <c:pt idx="10">
                  <c:v>-32370000</c:v>
                </c:pt>
                <c:pt idx="11">
                  <c:v>-36040000</c:v>
                </c:pt>
              </c:numCache>
            </c:numRef>
          </c:val>
          <c:smooth val="0"/>
          <c:extLst>
            <c:ext xmlns:c16="http://schemas.microsoft.com/office/drawing/2014/chart" uri="{C3380CC4-5D6E-409C-BE32-E72D297353CC}">
              <c16:uniqueId val="{00000002-CD94-43A8-AAC7-FEC30C93A772}"/>
            </c:ext>
          </c:extLst>
        </c:ser>
        <c:dLbls>
          <c:showLegendKey val="0"/>
          <c:showVal val="0"/>
          <c:showCatName val="0"/>
          <c:showSerName val="0"/>
          <c:showPercent val="0"/>
          <c:showBubbleSize val="0"/>
        </c:dLbls>
        <c:marker val="1"/>
        <c:smooth val="0"/>
        <c:axId val="1910446800"/>
        <c:axId val="1570172544"/>
      </c:lineChart>
      <c:catAx>
        <c:axId val="191044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0172544"/>
        <c:crosses val="autoZero"/>
        <c:auto val="1"/>
        <c:lblAlgn val="ctr"/>
        <c:lblOffset val="100"/>
        <c:noMultiLvlLbl val="0"/>
      </c:catAx>
      <c:valAx>
        <c:axId val="1570172544"/>
        <c:scaling>
          <c:orientation val="minMax"/>
        </c:scaling>
        <c:delete val="0"/>
        <c:axPos val="l"/>
        <c:numFmt formatCode="_(* #,##0_);_(* \(#,##0\);_(*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46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DTC</a:t>
            </a:r>
            <a:r>
              <a:rPr lang="en-US" baseline="0"/>
              <a:t> financial model</a:t>
            </a:r>
            <a:endParaRPr lang="en-US"/>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Calc!$B$1</c:f>
              <c:strCache>
                <c:ptCount val="1"/>
                <c:pt idx="0">
                  <c:v>Base Case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Calc!$A$2:$A$13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Calc!$B$2:$B$13</c:f>
              <c:numCache>
                <c:formatCode>_(* #,##0_);_(* \(#,##0\);_(* "-"??_);_(@_)</c:formatCode>
                <c:ptCount val="12"/>
                <c:pt idx="0">
                  <c:v>12830000</c:v>
                </c:pt>
                <c:pt idx="1">
                  <c:v>17660000</c:v>
                </c:pt>
                <c:pt idx="2">
                  <c:v>22490000</c:v>
                </c:pt>
                <c:pt idx="3">
                  <c:v>27320000</c:v>
                </c:pt>
                <c:pt idx="4">
                  <c:v>32150000</c:v>
                </c:pt>
                <c:pt idx="5">
                  <c:v>36980000</c:v>
                </c:pt>
                <c:pt idx="6">
                  <c:v>41810000</c:v>
                </c:pt>
                <c:pt idx="7">
                  <c:v>46640000</c:v>
                </c:pt>
                <c:pt idx="8">
                  <c:v>51470000</c:v>
                </c:pt>
                <c:pt idx="9">
                  <c:v>56300000</c:v>
                </c:pt>
                <c:pt idx="10">
                  <c:v>61130000</c:v>
                </c:pt>
                <c:pt idx="11">
                  <c:v>65960000</c:v>
                </c:pt>
              </c:numCache>
            </c:numRef>
          </c:val>
          <c:smooth val="0"/>
          <c:extLst>
            <c:ext xmlns:c16="http://schemas.microsoft.com/office/drawing/2014/chart" uri="{C3380CC4-5D6E-409C-BE32-E72D297353CC}">
              <c16:uniqueId val="{00000000-9B67-422E-8303-8C891864F252}"/>
            </c:ext>
          </c:extLst>
        </c:ser>
        <c:ser>
          <c:idx val="1"/>
          <c:order val="1"/>
          <c:tx>
            <c:strRef>
              <c:f>Calc!$C$1</c:f>
              <c:strCache>
                <c:ptCount val="1"/>
                <c:pt idx="0">
                  <c:v>Best Case</c:v>
                </c:pt>
              </c:strCache>
            </c:strRef>
          </c:tx>
          <c:spPr>
            <a:ln w="22225" cap="rnd">
              <a:solidFill>
                <a:schemeClr val="accent2"/>
              </a:solidFill>
              <a:round/>
            </a:ln>
            <a:effectLst/>
          </c:spPr>
          <c:marker>
            <c:symbol val="square"/>
            <c:size val="6"/>
            <c:spPr>
              <a:solidFill>
                <a:schemeClr val="accent6">
                  <a:lumMod val="75000"/>
                </a:schemeClr>
              </a:solidFill>
              <a:ln w="9525">
                <a:solidFill>
                  <a:schemeClr val="accent2"/>
                </a:solidFill>
                <a:round/>
              </a:ln>
              <a:effectLst/>
            </c:spPr>
          </c:marker>
          <c:cat>
            <c:strRef>
              <c:f>Calc!$A$2:$A$13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Calc!$C$2:$C$13</c:f>
              <c:numCache>
                <c:formatCode>_(* #,##0_);_(* \(#,##0\);_(* "-"??_);_(@_)</c:formatCode>
                <c:ptCount val="12"/>
                <c:pt idx="0">
                  <c:v>19655000</c:v>
                </c:pt>
                <c:pt idx="1">
                  <c:v>31310000</c:v>
                </c:pt>
                <c:pt idx="2">
                  <c:v>42965000</c:v>
                </c:pt>
                <c:pt idx="3">
                  <c:v>54620000</c:v>
                </c:pt>
                <c:pt idx="4">
                  <c:v>66275000</c:v>
                </c:pt>
                <c:pt idx="5">
                  <c:v>77930000</c:v>
                </c:pt>
                <c:pt idx="6">
                  <c:v>89585000</c:v>
                </c:pt>
                <c:pt idx="7">
                  <c:v>101240000</c:v>
                </c:pt>
                <c:pt idx="8">
                  <c:v>112895000</c:v>
                </c:pt>
                <c:pt idx="9">
                  <c:v>124550000</c:v>
                </c:pt>
                <c:pt idx="10">
                  <c:v>136205000</c:v>
                </c:pt>
                <c:pt idx="11">
                  <c:v>147860000</c:v>
                </c:pt>
              </c:numCache>
            </c:numRef>
          </c:val>
          <c:smooth val="0"/>
          <c:extLst>
            <c:ext xmlns:c16="http://schemas.microsoft.com/office/drawing/2014/chart" uri="{C3380CC4-5D6E-409C-BE32-E72D297353CC}">
              <c16:uniqueId val="{00000001-9B67-422E-8303-8C891864F252}"/>
            </c:ext>
          </c:extLst>
        </c:ser>
        <c:ser>
          <c:idx val="2"/>
          <c:order val="2"/>
          <c:tx>
            <c:strRef>
              <c:f>Calc!$D$1</c:f>
              <c:strCache>
                <c:ptCount val="1"/>
                <c:pt idx="0">
                  <c:v>Worse case</c:v>
                </c:pt>
              </c:strCache>
            </c:strRef>
          </c:tx>
          <c:spPr>
            <a:ln w="22225" cap="rnd">
              <a:solidFill>
                <a:srgbClr val="FF0000"/>
              </a:solidFill>
              <a:round/>
            </a:ln>
            <a:effectLst/>
          </c:spPr>
          <c:marker>
            <c:symbol val="triangle"/>
            <c:size val="6"/>
            <c:spPr>
              <a:solidFill>
                <a:srgbClr val="C00000"/>
              </a:solidFill>
              <a:ln w="9525">
                <a:solidFill>
                  <a:srgbClr val="FF0000"/>
                </a:solidFill>
                <a:round/>
              </a:ln>
              <a:effectLst/>
            </c:spPr>
          </c:marker>
          <c:cat>
            <c:strRef>
              <c:f>Calc!$A$2:$A$13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Calc!$D$2:$D$13</c:f>
              <c:numCache>
                <c:formatCode>_(* #,##0_);_(* \(#,##0\);_(* "-"??_);_(@_)</c:formatCode>
                <c:ptCount val="12"/>
                <c:pt idx="0">
                  <c:v>4330000</c:v>
                </c:pt>
                <c:pt idx="1">
                  <c:v>660000</c:v>
                </c:pt>
                <c:pt idx="2">
                  <c:v>-3010000</c:v>
                </c:pt>
                <c:pt idx="3">
                  <c:v>-6680000</c:v>
                </c:pt>
                <c:pt idx="4">
                  <c:v>-10350000</c:v>
                </c:pt>
                <c:pt idx="5">
                  <c:v>-14020000</c:v>
                </c:pt>
                <c:pt idx="6">
                  <c:v>-17690000</c:v>
                </c:pt>
                <c:pt idx="7">
                  <c:v>-21360000</c:v>
                </c:pt>
                <c:pt idx="8">
                  <c:v>-25030000</c:v>
                </c:pt>
                <c:pt idx="9">
                  <c:v>-28700000</c:v>
                </c:pt>
                <c:pt idx="10">
                  <c:v>-32370000</c:v>
                </c:pt>
                <c:pt idx="11">
                  <c:v>-36040000</c:v>
                </c:pt>
              </c:numCache>
            </c:numRef>
          </c:val>
          <c:smooth val="0"/>
          <c:extLst>
            <c:ext xmlns:c16="http://schemas.microsoft.com/office/drawing/2014/chart" uri="{C3380CC4-5D6E-409C-BE32-E72D297353CC}">
              <c16:uniqueId val="{00000002-9B67-422E-8303-8C891864F252}"/>
            </c:ext>
          </c:extLst>
        </c:ser>
        <c:dLbls>
          <c:showLegendKey val="0"/>
          <c:showVal val="0"/>
          <c:showCatName val="0"/>
          <c:showSerName val="0"/>
          <c:showPercent val="0"/>
          <c:showBubbleSize val="0"/>
        </c:dLbls>
        <c:marker val="1"/>
        <c:smooth val="0"/>
        <c:axId val="1910446800"/>
        <c:axId val="1570172544"/>
      </c:lineChart>
      <c:catAx>
        <c:axId val="19104468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70172544"/>
        <c:crosses val="autoZero"/>
        <c:auto val="1"/>
        <c:lblAlgn val="ctr"/>
        <c:lblOffset val="100"/>
        <c:noMultiLvlLbl val="0"/>
      </c:catAx>
      <c:valAx>
        <c:axId val="1570172544"/>
        <c:scaling>
          <c:orientation val="minMax"/>
        </c:scaling>
        <c:delete val="0"/>
        <c:axPos val="l"/>
        <c:numFmt formatCode="_(* #,##0_);_(* \(#,##0\);_(* &quot;-&quot;??_);_(@_)"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446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1562100</xdr:colOff>
      <xdr:row>13</xdr:row>
      <xdr:rowOff>138112</xdr:rowOff>
    </xdr:from>
    <xdr:to>
      <xdr:col>7</xdr:col>
      <xdr:colOff>85725</xdr:colOff>
      <xdr:row>28</xdr:row>
      <xdr:rowOff>23812</xdr:rowOff>
    </xdr:to>
    <xdr:graphicFrame macro="">
      <xdr:nvGraphicFramePr>
        <xdr:cNvPr id="2" name="Chart 1">
          <a:extLst>
            <a:ext uri="{FF2B5EF4-FFF2-40B4-BE49-F238E27FC236}">
              <a16:creationId xmlns:a16="http://schemas.microsoft.com/office/drawing/2014/main" id="{41724B08-E70D-DB1A-327D-DE7C77B31D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533400</xdr:colOff>
      <xdr:row>21</xdr:row>
      <xdr:rowOff>123825</xdr:rowOff>
    </xdr:from>
    <xdr:to>
      <xdr:col>1</xdr:col>
      <xdr:colOff>4495800</xdr:colOff>
      <xdr:row>35</xdr:row>
      <xdr:rowOff>180975</xdr:rowOff>
    </xdr:to>
    <xdr:graphicFrame macro="">
      <xdr:nvGraphicFramePr>
        <xdr:cNvPr id="2" name="Chart 1">
          <a:extLst>
            <a:ext uri="{FF2B5EF4-FFF2-40B4-BE49-F238E27FC236}">
              <a16:creationId xmlns:a16="http://schemas.microsoft.com/office/drawing/2014/main" id="{28AB756A-E7AE-4D52-A0D6-93DC286F0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64CB5-1C0A-4DCA-9E76-72C965FC8C7C}">
  <dimension ref="B2:I13"/>
  <sheetViews>
    <sheetView tabSelected="1" workbookViewId="0">
      <selection activeCell="C13" sqref="C13"/>
    </sheetView>
  </sheetViews>
  <sheetFormatPr defaultRowHeight="15" x14ac:dyDescent="0.25"/>
  <cols>
    <col min="2" max="2" width="24.7109375" customWidth="1"/>
    <col min="3" max="3" width="14.85546875" customWidth="1"/>
    <col min="5" max="5" width="15.42578125" customWidth="1"/>
    <col min="6" max="6" width="17.42578125" customWidth="1"/>
    <col min="8" max="8" width="21.28515625" customWidth="1"/>
  </cols>
  <sheetData>
    <row r="2" spans="2:9" ht="36" x14ac:dyDescent="0.55000000000000004">
      <c r="B2" s="34" t="str">
        <f>F6&amp;" Financial Model"</f>
        <v>DTC Financial Model</v>
      </c>
      <c r="C2" s="35"/>
      <c r="D2" s="35"/>
      <c r="E2" s="35"/>
      <c r="F2" s="35"/>
      <c r="G2" s="35"/>
      <c r="H2" s="35"/>
      <c r="I2" s="35"/>
    </row>
    <row r="4" spans="2:9" ht="15.75" x14ac:dyDescent="0.25">
      <c r="B4" s="36" t="s">
        <v>101</v>
      </c>
      <c r="C4" s="37"/>
      <c r="E4" s="36" t="s">
        <v>102</v>
      </c>
      <c r="F4" s="37"/>
      <c r="H4" s="36" t="s">
        <v>103</v>
      </c>
      <c r="I4" s="37"/>
    </row>
    <row r="5" spans="2:9" ht="15.75" x14ac:dyDescent="0.25">
      <c r="B5" s="38"/>
      <c r="C5" s="39"/>
      <c r="E5" s="38"/>
      <c r="F5" s="39"/>
      <c r="H5" s="38"/>
      <c r="I5" s="39"/>
    </row>
    <row r="6" spans="2:9" ht="15.75" x14ac:dyDescent="0.25">
      <c r="B6" t="s">
        <v>113</v>
      </c>
      <c r="C6" s="40">
        <v>3</v>
      </c>
      <c r="E6" t="s">
        <v>104</v>
      </c>
      <c r="F6" s="41" t="s">
        <v>112</v>
      </c>
      <c r="H6" t="s">
        <v>105</v>
      </c>
      <c r="I6" s="42"/>
    </row>
    <row r="7" spans="2:9" x14ac:dyDescent="0.25">
      <c r="E7" t="s">
        <v>115</v>
      </c>
      <c r="F7" s="41" t="s">
        <v>116</v>
      </c>
      <c r="H7" s="43" t="s">
        <v>2</v>
      </c>
    </row>
    <row r="8" spans="2:9" ht="15.75" x14ac:dyDescent="0.25">
      <c r="B8" s="36" t="s">
        <v>106</v>
      </c>
      <c r="C8" s="37"/>
      <c r="E8" t="s">
        <v>107</v>
      </c>
      <c r="F8" s="41" t="s">
        <v>114</v>
      </c>
      <c r="H8" t="s">
        <v>12</v>
      </c>
    </row>
    <row r="9" spans="2:9" ht="15.75" x14ac:dyDescent="0.25">
      <c r="B9" s="38"/>
      <c r="C9" s="39"/>
      <c r="E9" t="s">
        <v>108</v>
      </c>
      <c r="F9" s="44">
        <v>46268</v>
      </c>
      <c r="H9" t="s">
        <v>27</v>
      </c>
    </row>
    <row r="10" spans="2:9" ht="15.75" x14ac:dyDescent="0.25">
      <c r="B10" t="s">
        <v>109</v>
      </c>
      <c r="C10" s="45" t="str">
        <f>IF(Forecast!O36=0,"✅ Balanced","❌ Error")</f>
        <v>✅ Balanced</v>
      </c>
      <c r="E10" t="s">
        <v>110</v>
      </c>
      <c r="F10" s="41" t="s">
        <v>117</v>
      </c>
      <c r="H10" t="s">
        <v>111</v>
      </c>
    </row>
    <row r="11" spans="2:9" x14ac:dyDescent="0.25">
      <c r="B11" t="s">
        <v>118</v>
      </c>
      <c r="C11" s="41" t="str">
        <f>IF(Forecast!O56&gt;20000000,"Healthy",IF(Forecast!O56&gt;8000000,"Warning","Critical"))</f>
        <v>Critical</v>
      </c>
    </row>
    <row r="12" spans="2:9" x14ac:dyDescent="0.25">
      <c r="B12" t="s">
        <v>11</v>
      </c>
      <c r="C12" t="str">
        <f>IF(Forecast!O15&gt;0,"✅ Profitable","⚠️ Loss")</f>
        <v>⚠️ Loss</v>
      </c>
    </row>
    <row r="13" spans="2:9" x14ac:dyDescent="0.25">
      <c r="B13" t="s">
        <v>119</v>
      </c>
      <c r="C13" t="str">
        <f>IF(Forecast!O56&lt;0,"❌ Insolvent",ROUND(Forecast!O56/ABS(Forecast!O43),1)&amp;" months")</f>
        <v>❌ Insolvent</v>
      </c>
    </row>
  </sheetData>
  <dataValidations count="1">
    <dataValidation type="list" allowBlank="1" showInputMessage="1" showErrorMessage="1" sqref="C6" xr:uid="{4B30BFC9-2283-42D0-AA19-CB3852D361EA}">
      <formula1>"1,2,3"</formula1>
    </dataValidation>
  </dataValidations>
  <hyperlinks>
    <hyperlink ref="H7" location="Forecast!A1" display="Income Statement" xr:uid="{950262F1-D936-4CE4-81E7-FD15F1B5BA9B}"/>
  </hyperlink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70669-9369-46F8-88CA-2FA333E14169}">
  <dimension ref="A1:T137"/>
  <sheetViews>
    <sheetView topLeftCell="B40" workbookViewId="0">
      <selection activeCell="D56" sqref="D56"/>
    </sheetView>
  </sheetViews>
  <sheetFormatPr defaultRowHeight="15" x14ac:dyDescent="0.25"/>
  <cols>
    <col min="2" max="2" width="40.5703125" customWidth="1"/>
    <col min="3" max="3" width="12.7109375" bestFit="1" customWidth="1"/>
    <col min="4" max="4" width="14" bestFit="1" customWidth="1"/>
    <col min="5" max="5" width="13.85546875" customWidth="1"/>
    <col min="6" max="6" width="13.28515625" customWidth="1"/>
    <col min="7" max="7" width="16.85546875" customWidth="1"/>
    <col min="8" max="8" width="12.5703125" customWidth="1"/>
    <col min="9" max="9" width="13.5703125" customWidth="1"/>
    <col min="10" max="10" width="14" customWidth="1"/>
    <col min="11" max="11" width="13.42578125" customWidth="1"/>
    <col min="12" max="12" width="13.5703125" customWidth="1"/>
    <col min="13" max="13" width="13.140625" customWidth="1"/>
    <col min="14" max="14" width="13.28515625" customWidth="1"/>
    <col min="15" max="15" width="12.85546875" customWidth="1"/>
  </cols>
  <sheetData>
    <row r="1" spans="1:15" ht="28.5" x14ac:dyDescent="0.25">
      <c r="B1" s="1" t="s">
        <v>0</v>
      </c>
      <c r="C1" s="2"/>
      <c r="D1" s="2"/>
      <c r="E1" s="2"/>
      <c r="F1" s="2"/>
      <c r="G1" s="2"/>
      <c r="H1" s="2"/>
      <c r="I1" s="2"/>
      <c r="J1" s="2"/>
      <c r="K1" s="2"/>
      <c r="L1" s="2"/>
      <c r="M1" s="2"/>
      <c r="N1" s="2"/>
      <c r="O1" s="2"/>
    </row>
    <row r="3" spans="1:15" ht="15.75" x14ac:dyDescent="0.25">
      <c r="A3" t="s">
        <v>1</v>
      </c>
      <c r="B3" s="3" t="s">
        <v>2</v>
      </c>
      <c r="C3" s="3"/>
      <c r="D3" s="3"/>
      <c r="E3" s="3"/>
      <c r="F3" s="3"/>
      <c r="G3" s="3"/>
      <c r="H3" s="3"/>
      <c r="I3" s="3"/>
      <c r="J3" s="3"/>
      <c r="K3" s="3"/>
      <c r="L3" s="3"/>
      <c r="M3" s="3"/>
      <c r="N3" s="3"/>
      <c r="O3" s="3"/>
    </row>
    <row r="4" spans="1:15" ht="15.75" x14ac:dyDescent="0.25">
      <c r="B4" s="4" t="s">
        <v>72</v>
      </c>
      <c r="D4" s="6" t="s">
        <v>73</v>
      </c>
      <c r="E4" s="6" t="s">
        <v>74</v>
      </c>
      <c r="F4" s="6" t="s">
        <v>75</v>
      </c>
      <c r="G4" s="6" t="s">
        <v>76</v>
      </c>
      <c r="H4" s="6" t="s">
        <v>77</v>
      </c>
      <c r="I4" s="6" t="s">
        <v>78</v>
      </c>
      <c r="J4" s="6" t="s">
        <v>79</v>
      </c>
      <c r="K4" s="6" t="s">
        <v>80</v>
      </c>
      <c r="L4" s="6" t="s">
        <v>81</v>
      </c>
      <c r="M4" s="6" t="s">
        <v>82</v>
      </c>
      <c r="N4" s="6" t="s">
        <v>83</v>
      </c>
      <c r="O4" s="6" t="s">
        <v>84</v>
      </c>
    </row>
    <row r="5" spans="1:15" x14ac:dyDescent="0.25">
      <c r="B5" t="s">
        <v>3</v>
      </c>
      <c r="C5" s="7"/>
      <c r="D5" s="8">
        <f>D60*D61</f>
        <v>21600000</v>
      </c>
      <c r="E5" s="8">
        <f t="shared" ref="E5:O5" si="0">E60*E61</f>
        <v>21600000</v>
      </c>
      <c r="F5" s="8">
        <f t="shared" si="0"/>
        <v>21600000</v>
      </c>
      <c r="G5" s="8">
        <f t="shared" si="0"/>
        <v>21600000</v>
      </c>
      <c r="H5" s="8">
        <f t="shared" si="0"/>
        <v>21600000</v>
      </c>
      <c r="I5" s="8">
        <f t="shared" si="0"/>
        <v>21600000</v>
      </c>
      <c r="J5" s="8">
        <f t="shared" si="0"/>
        <v>21600000</v>
      </c>
      <c r="K5" s="8">
        <f t="shared" si="0"/>
        <v>21600000</v>
      </c>
      <c r="L5" s="8">
        <f t="shared" si="0"/>
        <v>21600000</v>
      </c>
      <c r="M5" s="8">
        <f t="shared" si="0"/>
        <v>21600000</v>
      </c>
      <c r="N5" s="8">
        <f t="shared" si="0"/>
        <v>21600000</v>
      </c>
      <c r="O5" s="8">
        <f t="shared" si="0"/>
        <v>21600000</v>
      </c>
    </row>
    <row r="6" spans="1:15" x14ac:dyDescent="0.25">
      <c r="B6" t="s">
        <v>4</v>
      </c>
      <c r="C6" s="7"/>
      <c r="D6" s="7">
        <f t="shared" ref="D6:O6" si="1">-D66*D5</f>
        <v>-10800000</v>
      </c>
      <c r="E6" s="7">
        <f t="shared" si="1"/>
        <v>-10800000</v>
      </c>
      <c r="F6" s="7">
        <f>-F66*F5</f>
        <v>-10800000</v>
      </c>
      <c r="G6" s="7">
        <f t="shared" si="1"/>
        <v>-10800000</v>
      </c>
      <c r="H6" s="7">
        <f t="shared" si="1"/>
        <v>-10800000</v>
      </c>
      <c r="I6" s="7">
        <f t="shared" si="1"/>
        <v>-10800000</v>
      </c>
      <c r="J6" s="7">
        <f t="shared" si="1"/>
        <v>-10800000</v>
      </c>
      <c r="K6" s="7">
        <f t="shared" si="1"/>
        <v>-10800000</v>
      </c>
      <c r="L6" s="7">
        <f t="shared" si="1"/>
        <v>-10800000</v>
      </c>
      <c r="M6" s="7">
        <f t="shared" si="1"/>
        <v>-10800000</v>
      </c>
      <c r="N6" s="7">
        <f t="shared" si="1"/>
        <v>-10800000</v>
      </c>
      <c r="O6" s="7">
        <f t="shared" si="1"/>
        <v>-10800000</v>
      </c>
    </row>
    <row r="7" spans="1:15" ht="15.75" x14ac:dyDescent="0.25">
      <c r="B7" s="9" t="s">
        <v>5</v>
      </c>
      <c r="C7" s="10"/>
      <c r="D7" s="10">
        <f>SUM(D5,D6)</f>
        <v>10800000</v>
      </c>
      <c r="E7" s="10">
        <f t="shared" ref="E7:O7" si="2">SUM(E5,E6)</f>
        <v>10800000</v>
      </c>
      <c r="F7" s="10">
        <f t="shared" si="2"/>
        <v>10800000</v>
      </c>
      <c r="G7" s="10">
        <f t="shared" si="2"/>
        <v>10800000</v>
      </c>
      <c r="H7" s="10">
        <f t="shared" si="2"/>
        <v>10800000</v>
      </c>
      <c r="I7" s="10">
        <f t="shared" si="2"/>
        <v>10800000</v>
      </c>
      <c r="J7" s="10">
        <f t="shared" si="2"/>
        <v>10800000</v>
      </c>
      <c r="K7" s="10">
        <f t="shared" si="2"/>
        <v>10800000</v>
      </c>
      <c r="L7" s="10">
        <f t="shared" si="2"/>
        <v>10800000</v>
      </c>
      <c r="M7" s="10">
        <f t="shared" si="2"/>
        <v>10800000</v>
      </c>
      <c r="N7" s="10">
        <f t="shared" si="2"/>
        <v>10800000</v>
      </c>
      <c r="O7" s="10">
        <f t="shared" si="2"/>
        <v>10800000</v>
      </c>
    </row>
    <row r="8" spans="1:15" x14ac:dyDescent="0.25">
      <c r="B8" t="s">
        <v>85</v>
      </c>
      <c r="C8" s="7"/>
      <c r="D8" s="7">
        <f t="shared" ref="D8:O8" si="3">-D5*D67</f>
        <v>-9720000</v>
      </c>
      <c r="E8" s="7">
        <f t="shared" si="3"/>
        <v>-9720000</v>
      </c>
      <c r="F8" s="7">
        <f t="shared" si="3"/>
        <v>-9720000</v>
      </c>
      <c r="G8" s="7">
        <f t="shared" si="3"/>
        <v>-9720000</v>
      </c>
      <c r="H8" s="7">
        <f t="shared" si="3"/>
        <v>-9720000</v>
      </c>
      <c r="I8" s="7">
        <f t="shared" si="3"/>
        <v>-9720000</v>
      </c>
      <c r="J8" s="7">
        <f t="shared" si="3"/>
        <v>-9720000</v>
      </c>
      <c r="K8" s="7">
        <f t="shared" si="3"/>
        <v>-9720000</v>
      </c>
      <c r="L8" s="7">
        <f t="shared" si="3"/>
        <v>-9720000</v>
      </c>
      <c r="M8" s="7">
        <f t="shared" si="3"/>
        <v>-9720000</v>
      </c>
      <c r="N8" s="7">
        <f t="shared" si="3"/>
        <v>-9720000</v>
      </c>
      <c r="O8" s="7">
        <f t="shared" si="3"/>
        <v>-9720000</v>
      </c>
    </row>
    <row r="9" spans="1:15" x14ac:dyDescent="0.25">
      <c r="B9" t="s">
        <v>89</v>
      </c>
      <c r="C9" s="7"/>
      <c r="D9" s="7">
        <f>-(D60*D62)+(D60*D63*D64)</f>
        <v>-3900000</v>
      </c>
      <c r="E9" s="7">
        <f t="shared" ref="E9:N9" si="4">-(E60*E62)+(E60*E63*E64)</f>
        <v>-3900000</v>
      </c>
      <c r="F9" s="7">
        <f t="shared" si="4"/>
        <v>-3900000</v>
      </c>
      <c r="G9" s="7">
        <f t="shared" si="4"/>
        <v>-3900000</v>
      </c>
      <c r="H9" s="7">
        <f t="shared" si="4"/>
        <v>-3900000</v>
      </c>
      <c r="I9" s="7">
        <f t="shared" si="4"/>
        <v>-3900000</v>
      </c>
      <c r="J9" s="7">
        <f t="shared" si="4"/>
        <v>-3900000</v>
      </c>
      <c r="K9" s="7">
        <f t="shared" si="4"/>
        <v>-3900000</v>
      </c>
      <c r="L9" s="7">
        <f t="shared" si="4"/>
        <v>-3900000</v>
      </c>
      <c r="M9" s="7">
        <f t="shared" si="4"/>
        <v>-3900000</v>
      </c>
      <c r="N9" s="7">
        <f t="shared" si="4"/>
        <v>-3900000</v>
      </c>
      <c r="O9" s="7">
        <f>-(O60*O62)+(O60*O63*O64)</f>
        <v>-3900000</v>
      </c>
    </row>
    <row r="10" spans="1:15" ht="15.75" x14ac:dyDescent="0.25">
      <c r="B10" t="s">
        <v>86</v>
      </c>
      <c r="C10" s="20"/>
      <c r="D10" s="20">
        <f>-D78</f>
        <v>-850000</v>
      </c>
      <c r="E10" s="20">
        <f t="shared" ref="E10:O10" si="5">-E78</f>
        <v>-850000</v>
      </c>
      <c r="F10" s="20">
        <f t="shared" si="5"/>
        <v>-850000</v>
      </c>
      <c r="G10" s="20">
        <f t="shared" si="5"/>
        <v>-850000</v>
      </c>
      <c r="H10" s="20">
        <f t="shared" si="5"/>
        <v>-850000</v>
      </c>
      <c r="I10" s="20">
        <f t="shared" si="5"/>
        <v>-850000</v>
      </c>
      <c r="J10" s="20">
        <f t="shared" si="5"/>
        <v>-850000</v>
      </c>
      <c r="K10" s="20">
        <f t="shared" si="5"/>
        <v>-850000</v>
      </c>
      <c r="L10" s="20">
        <f t="shared" si="5"/>
        <v>-850000</v>
      </c>
      <c r="M10" s="20">
        <f t="shared" si="5"/>
        <v>-850000</v>
      </c>
      <c r="N10" s="20">
        <f t="shared" si="5"/>
        <v>-850000</v>
      </c>
      <c r="O10" s="20">
        <f t="shared" si="5"/>
        <v>-850000</v>
      </c>
    </row>
    <row r="11" spans="1:15" ht="15.75" x14ac:dyDescent="0.25">
      <c r="B11" s="9" t="s">
        <v>7</v>
      </c>
      <c r="C11" s="29"/>
      <c r="D11" s="30">
        <f>SUM(D7:D10)</f>
        <v>-3670000</v>
      </c>
      <c r="E11" s="30">
        <f t="shared" ref="E11:O11" si="6">SUM(E7:E10)</f>
        <v>-3670000</v>
      </c>
      <c r="F11" s="30">
        <f t="shared" si="6"/>
        <v>-3670000</v>
      </c>
      <c r="G11" s="30">
        <f t="shared" si="6"/>
        <v>-3670000</v>
      </c>
      <c r="H11" s="30">
        <f t="shared" si="6"/>
        <v>-3670000</v>
      </c>
      <c r="I11" s="30">
        <f t="shared" si="6"/>
        <v>-3670000</v>
      </c>
      <c r="J11" s="30">
        <f t="shared" si="6"/>
        <v>-3670000</v>
      </c>
      <c r="K11" s="30">
        <f t="shared" si="6"/>
        <v>-3670000</v>
      </c>
      <c r="L11" s="30">
        <f t="shared" si="6"/>
        <v>-3670000</v>
      </c>
      <c r="M11" s="30">
        <f t="shared" si="6"/>
        <v>-3670000</v>
      </c>
      <c r="N11" s="30">
        <f t="shared" si="6"/>
        <v>-3670000</v>
      </c>
      <c r="O11" s="30">
        <f t="shared" si="6"/>
        <v>-3670000</v>
      </c>
    </row>
    <row r="12" spans="1:15" ht="15.75" x14ac:dyDescent="0.25">
      <c r="B12" t="s">
        <v>8</v>
      </c>
      <c r="C12" s="20"/>
      <c r="D12" s="20">
        <v>0</v>
      </c>
      <c r="E12" s="20">
        <v>0</v>
      </c>
      <c r="F12" s="20">
        <v>0</v>
      </c>
      <c r="G12" s="20">
        <v>0</v>
      </c>
      <c r="H12" s="20">
        <v>0</v>
      </c>
      <c r="I12" s="20">
        <v>0</v>
      </c>
      <c r="J12" s="20">
        <v>0</v>
      </c>
      <c r="K12" s="20">
        <v>0</v>
      </c>
      <c r="L12" s="20">
        <v>0</v>
      </c>
      <c r="M12" s="20">
        <v>0</v>
      </c>
      <c r="N12" s="20">
        <v>0</v>
      </c>
      <c r="O12" s="20">
        <v>0</v>
      </c>
    </row>
    <row r="13" spans="1:15" ht="15.75" x14ac:dyDescent="0.25">
      <c r="B13" s="9" t="s">
        <v>9</v>
      </c>
      <c r="C13" s="7"/>
      <c r="D13" s="7">
        <f>SUM(D11:D12)</f>
        <v>-3670000</v>
      </c>
      <c r="E13" s="7">
        <f t="shared" ref="E13:O13" si="7">SUM(E11:E12)</f>
        <v>-3670000</v>
      </c>
      <c r="F13" s="7">
        <f t="shared" si="7"/>
        <v>-3670000</v>
      </c>
      <c r="G13" s="7">
        <f t="shared" si="7"/>
        <v>-3670000</v>
      </c>
      <c r="H13" s="7">
        <f t="shared" si="7"/>
        <v>-3670000</v>
      </c>
      <c r="I13" s="7">
        <f t="shared" si="7"/>
        <v>-3670000</v>
      </c>
      <c r="J13" s="7">
        <f t="shared" si="7"/>
        <v>-3670000</v>
      </c>
      <c r="K13" s="7">
        <f t="shared" si="7"/>
        <v>-3670000</v>
      </c>
      <c r="L13" s="7">
        <f t="shared" si="7"/>
        <v>-3670000</v>
      </c>
      <c r="M13" s="7">
        <f t="shared" si="7"/>
        <v>-3670000</v>
      </c>
      <c r="N13" s="7">
        <f t="shared" si="7"/>
        <v>-3670000</v>
      </c>
      <c r="O13" s="7">
        <f t="shared" si="7"/>
        <v>-3670000</v>
      </c>
    </row>
    <row r="14" spans="1:15" x14ac:dyDescent="0.25">
      <c r="B14" t="s">
        <v>10</v>
      </c>
      <c r="D14" s="8">
        <f>IF(D13&gt;0, -D13*D$69, 0)</f>
        <v>0</v>
      </c>
      <c r="E14" s="8">
        <f t="shared" ref="E14:O14" si="8">IF(E13&gt;0, -E13*E$69, 0)</f>
        <v>0</v>
      </c>
      <c r="F14" s="8">
        <f t="shared" si="8"/>
        <v>0</v>
      </c>
      <c r="G14" s="8">
        <f t="shared" si="8"/>
        <v>0</v>
      </c>
      <c r="H14" s="8">
        <f t="shared" si="8"/>
        <v>0</v>
      </c>
      <c r="I14" s="8">
        <f t="shared" si="8"/>
        <v>0</v>
      </c>
      <c r="J14" s="8">
        <f t="shared" si="8"/>
        <v>0</v>
      </c>
      <c r="K14" s="8">
        <f t="shared" si="8"/>
        <v>0</v>
      </c>
      <c r="L14" s="8">
        <f t="shared" si="8"/>
        <v>0</v>
      </c>
      <c r="M14" s="8">
        <f t="shared" si="8"/>
        <v>0</v>
      </c>
      <c r="N14" s="8">
        <f t="shared" si="8"/>
        <v>0</v>
      </c>
      <c r="O14" s="8">
        <f t="shared" si="8"/>
        <v>0</v>
      </c>
    </row>
    <row r="15" spans="1:15" ht="15.75" x14ac:dyDescent="0.25">
      <c r="B15" s="12" t="s">
        <v>11</v>
      </c>
      <c r="C15" s="13"/>
      <c r="D15" s="13">
        <f>SUM(D13,D14)</f>
        <v>-3670000</v>
      </c>
      <c r="E15" s="13">
        <f t="shared" ref="E15:N15" si="9">SUM(E13,E14)</f>
        <v>-3670000</v>
      </c>
      <c r="F15" s="13">
        <f t="shared" si="9"/>
        <v>-3670000</v>
      </c>
      <c r="G15" s="13">
        <f t="shared" si="9"/>
        <v>-3670000</v>
      </c>
      <c r="H15" s="13">
        <f t="shared" si="9"/>
        <v>-3670000</v>
      </c>
      <c r="I15" s="13">
        <f t="shared" si="9"/>
        <v>-3670000</v>
      </c>
      <c r="J15" s="13">
        <f t="shared" si="9"/>
        <v>-3670000</v>
      </c>
      <c r="K15" s="13">
        <f t="shared" si="9"/>
        <v>-3670000</v>
      </c>
      <c r="L15" s="13">
        <f t="shared" si="9"/>
        <v>-3670000</v>
      </c>
      <c r="M15" s="13">
        <f t="shared" si="9"/>
        <v>-3670000</v>
      </c>
      <c r="N15" s="13">
        <f t="shared" si="9"/>
        <v>-3670000</v>
      </c>
      <c r="O15" s="13">
        <f>SUM(O13,O14)</f>
        <v>-3670000</v>
      </c>
    </row>
    <row r="16" spans="1:15" ht="15.75" x14ac:dyDescent="0.25">
      <c r="A16" t="s">
        <v>1</v>
      </c>
      <c r="B16" s="3" t="s">
        <v>12</v>
      </c>
      <c r="C16" s="3"/>
      <c r="D16" s="3"/>
      <c r="E16" s="3"/>
      <c r="F16" s="3"/>
      <c r="G16" s="3"/>
      <c r="H16" s="3"/>
      <c r="I16" s="3"/>
      <c r="J16" s="3"/>
      <c r="K16" s="3"/>
      <c r="L16" s="3"/>
      <c r="M16" s="3"/>
      <c r="N16" s="3"/>
      <c r="O16" s="3"/>
    </row>
    <row r="17" spans="2:20" ht="15.75" x14ac:dyDescent="0.25">
      <c r="B17" s="4" t="s">
        <v>72</v>
      </c>
      <c r="C17" s="5"/>
      <c r="D17" s="5" t="str">
        <f t="shared" ref="D17:O17" si="10">D4</f>
        <v>January</v>
      </c>
      <c r="E17" s="5" t="str">
        <f t="shared" si="10"/>
        <v>February</v>
      </c>
      <c r="F17" s="5" t="str">
        <f t="shared" si="10"/>
        <v>March</v>
      </c>
      <c r="G17" s="5" t="str">
        <f t="shared" si="10"/>
        <v>April</v>
      </c>
      <c r="H17" s="5" t="str">
        <f t="shared" si="10"/>
        <v>May</v>
      </c>
      <c r="I17" s="5" t="str">
        <f t="shared" si="10"/>
        <v>June</v>
      </c>
      <c r="J17" s="5" t="str">
        <f t="shared" si="10"/>
        <v>July</v>
      </c>
      <c r="K17" s="5" t="str">
        <f t="shared" si="10"/>
        <v>August</v>
      </c>
      <c r="L17" s="5" t="str">
        <f t="shared" si="10"/>
        <v>September</v>
      </c>
      <c r="M17" s="5" t="str">
        <f t="shared" si="10"/>
        <v>October</v>
      </c>
      <c r="N17" s="5" t="str">
        <f t="shared" si="10"/>
        <v>November</v>
      </c>
      <c r="O17" s="5" t="str">
        <f t="shared" si="10"/>
        <v>December</v>
      </c>
      <c r="P17" s="5"/>
      <c r="Q17" s="5"/>
      <c r="R17" s="5"/>
      <c r="S17" s="5"/>
      <c r="T17" s="5"/>
    </row>
    <row r="18" spans="2:20" ht="15.75" x14ac:dyDescent="0.25">
      <c r="B18" t="s">
        <v>13</v>
      </c>
      <c r="C18" s="11">
        <f>8000000</f>
        <v>8000000</v>
      </c>
      <c r="D18" s="14">
        <f>D56</f>
        <v>4330000</v>
      </c>
      <c r="E18" s="14">
        <f t="shared" ref="E18:O18" si="11">E56</f>
        <v>660000</v>
      </c>
      <c r="F18" s="14">
        <f t="shared" si="11"/>
        <v>-3010000</v>
      </c>
      <c r="G18" s="14">
        <f t="shared" si="11"/>
        <v>-6680000</v>
      </c>
      <c r="H18" s="14">
        <f t="shared" si="11"/>
        <v>-10350000</v>
      </c>
      <c r="I18" s="14">
        <f t="shared" si="11"/>
        <v>-14020000</v>
      </c>
      <c r="J18" s="14">
        <f t="shared" si="11"/>
        <v>-17690000</v>
      </c>
      <c r="K18" s="14">
        <f t="shared" si="11"/>
        <v>-21360000</v>
      </c>
      <c r="L18" s="14">
        <f t="shared" si="11"/>
        <v>-25030000</v>
      </c>
      <c r="M18" s="14">
        <f t="shared" si="11"/>
        <v>-28700000</v>
      </c>
      <c r="N18" s="14">
        <f t="shared" si="11"/>
        <v>-32370000</v>
      </c>
      <c r="O18" s="14">
        <f t="shared" si="11"/>
        <v>-36040000</v>
      </c>
    </row>
    <row r="19" spans="2:20" ht="15.75" x14ac:dyDescent="0.25">
      <c r="B19" t="s">
        <v>14</v>
      </c>
      <c r="C19" s="11">
        <v>0</v>
      </c>
      <c r="D19" s="11">
        <v>0</v>
      </c>
      <c r="E19" s="11">
        <v>0</v>
      </c>
      <c r="F19" s="11">
        <v>0</v>
      </c>
      <c r="G19" s="11">
        <v>0</v>
      </c>
      <c r="H19" s="11">
        <v>0</v>
      </c>
      <c r="I19" s="11">
        <v>0</v>
      </c>
      <c r="J19" s="11">
        <v>0</v>
      </c>
      <c r="K19" s="11">
        <v>0</v>
      </c>
      <c r="L19" s="11">
        <v>0</v>
      </c>
      <c r="M19" s="11">
        <v>0</v>
      </c>
      <c r="N19" s="11">
        <v>0</v>
      </c>
      <c r="O19" s="11">
        <v>0</v>
      </c>
    </row>
    <row r="20" spans="2:20" ht="15.75" x14ac:dyDescent="0.25">
      <c r="B20" t="s">
        <v>15</v>
      </c>
      <c r="C20" s="11">
        <v>18000000</v>
      </c>
      <c r="D20" s="7">
        <f>D6*-1</f>
        <v>10800000</v>
      </c>
      <c r="E20" s="7">
        <f t="shared" ref="E20:O20" si="12">E6*-1</f>
        <v>10800000</v>
      </c>
      <c r="F20" s="7">
        <f t="shared" si="12"/>
        <v>10800000</v>
      </c>
      <c r="G20" s="7">
        <f t="shared" si="12"/>
        <v>10800000</v>
      </c>
      <c r="H20" s="7">
        <f t="shared" si="12"/>
        <v>10800000</v>
      </c>
      <c r="I20" s="7">
        <f t="shared" si="12"/>
        <v>10800000</v>
      </c>
      <c r="J20" s="7">
        <f t="shared" si="12"/>
        <v>10800000</v>
      </c>
      <c r="K20" s="7">
        <f t="shared" si="12"/>
        <v>10800000</v>
      </c>
      <c r="L20" s="7">
        <f t="shared" si="12"/>
        <v>10800000</v>
      </c>
      <c r="M20" s="7">
        <f t="shared" si="12"/>
        <v>10800000</v>
      </c>
      <c r="N20" s="7">
        <f t="shared" si="12"/>
        <v>10800000</v>
      </c>
      <c r="O20" s="7">
        <f t="shared" si="12"/>
        <v>10800000</v>
      </c>
    </row>
    <row r="21" spans="2:20" ht="15.75" x14ac:dyDescent="0.25">
      <c r="B21" s="9" t="s">
        <v>16</v>
      </c>
      <c r="C21" s="10"/>
      <c r="D21" s="10">
        <f>SUM(D18:D20)</f>
        <v>15130000</v>
      </c>
      <c r="E21" s="10">
        <f t="shared" ref="E21:O21" si="13">SUM(E18:E20)</f>
        <v>11460000</v>
      </c>
      <c r="F21" s="10">
        <f t="shared" si="13"/>
        <v>7790000</v>
      </c>
      <c r="G21" s="10">
        <f t="shared" si="13"/>
        <v>4120000</v>
      </c>
      <c r="H21" s="10">
        <f t="shared" si="13"/>
        <v>450000</v>
      </c>
      <c r="I21" s="10">
        <f t="shared" si="13"/>
        <v>-3220000</v>
      </c>
      <c r="J21" s="10">
        <f t="shared" si="13"/>
        <v>-6890000</v>
      </c>
      <c r="K21" s="10">
        <f t="shared" si="13"/>
        <v>-10560000</v>
      </c>
      <c r="L21" s="10">
        <f t="shared" si="13"/>
        <v>-14230000</v>
      </c>
      <c r="M21" s="10">
        <f t="shared" si="13"/>
        <v>-17900000</v>
      </c>
      <c r="N21" s="10">
        <f t="shared" si="13"/>
        <v>-21570000</v>
      </c>
      <c r="O21" s="10">
        <f t="shared" si="13"/>
        <v>-25240000</v>
      </c>
    </row>
    <row r="22" spans="2:20" ht="15.75" x14ac:dyDescent="0.25">
      <c r="B22" s="12" t="s">
        <v>17</v>
      </c>
      <c r="C22" s="11"/>
      <c r="D22" s="7">
        <f>D21</f>
        <v>15130000</v>
      </c>
      <c r="E22" s="7">
        <f t="shared" ref="E22:M22" si="14">E21</f>
        <v>11460000</v>
      </c>
      <c r="F22" s="7">
        <f t="shared" si="14"/>
        <v>7790000</v>
      </c>
      <c r="G22" s="7">
        <f t="shared" si="14"/>
        <v>4120000</v>
      </c>
      <c r="H22" s="7">
        <f t="shared" si="14"/>
        <v>450000</v>
      </c>
      <c r="I22" s="7">
        <f t="shared" si="14"/>
        <v>-3220000</v>
      </c>
      <c r="J22" s="7">
        <f t="shared" si="14"/>
        <v>-6890000</v>
      </c>
      <c r="K22" s="7">
        <f t="shared" si="14"/>
        <v>-10560000</v>
      </c>
      <c r="L22" s="7">
        <f t="shared" si="14"/>
        <v>-14230000</v>
      </c>
      <c r="M22" s="7">
        <f t="shared" si="14"/>
        <v>-17900000</v>
      </c>
      <c r="N22" s="7">
        <f t="shared" ref="N22" si="15">N21</f>
        <v>-21570000</v>
      </c>
      <c r="O22" s="7">
        <f t="shared" ref="O22" si="16">O21</f>
        <v>-25240000</v>
      </c>
    </row>
    <row r="24" spans="2:20" ht="15.75" x14ac:dyDescent="0.25">
      <c r="B24" t="s">
        <v>18</v>
      </c>
      <c r="C24" s="11"/>
      <c r="D24" s="7">
        <v>0</v>
      </c>
      <c r="E24" s="7">
        <v>0</v>
      </c>
      <c r="F24" s="7">
        <v>0</v>
      </c>
      <c r="G24" s="7">
        <v>0</v>
      </c>
      <c r="H24" s="7">
        <v>0</v>
      </c>
      <c r="I24" s="7">
        <v>0</v>
      </c>
      <c r="J24" s="7">
        <v>0</v>
      </c>
      <c r="K24" s="7">
        <v>0</v>
      </c>
      <c r="L24" s="7">
        <v>0</v>
      </c>
      <c r="M24" s="7">
        <v>0</v>
      </c>
      <c r="N24" s="7">
        <v>0</v>
      </c>
      <c r="O24" s="7">
        <v>0</v>
      </c>
    </row>
    <row r="25" spans="2:20" x14ac:dyDescent="0.25">
      <c r="B25" t="s">
        <v>19</v>
      </c>
      <c r="C25" s="7"/>
      <c r="D25" s="15">
        <v>0</v>
      </c>
      <c r="E25" s="15">
        <v>0</v>
      </c>
      <c r="F25" s="15">
        <v>0</v>
      </c>
      <c r="G25" s="15">
        <v>0</v>
      </c>
      <c r="H25" s="15">
        <v>0</v>
      </c>
      <c r="I25" s="15">
        <v>0</v>
      </c>
      <c r="J25" s="15">
        <v>0</v>
      </c>
      <c r="K25" s="15">
        <v>0</v>
      </c>
      <c r="L25" s="15">
        <v>0</v>
      </c>
      <c r="M25" s="15">
        <v>0</v>
      </c>
      <c r="N25" s="15">
        <v>0</v>
      </c>
      <c r="O25" s="15">
        <v>0</v>
      </c>
    </row>
    <row r="26" spans="2:20" ht="15.75" x14ac:dyDescent="0.25">
      <c r="B26" s="9" t="s">
        <v>20</v>
      </c>
      <c r="C26" s="10"/>
      <c r="D26" s="10">
        <v>0</v>
      </c>
      <c r="E26" s="10">
        <v>0</v>
      </c>
      <c r="F26" s="10">
        <v>0</v>
      </c>
      <c r="G26" s="10">
        <v>0</v>
      </c>
      <c r="H26" s="10">
        <v>0</v>
      </c>
      <c r="I26" s="10">
        <v>0</v>
      </c>
      <c r="J26" s="10">
        <v>0</v>
      </c>
      <c r="K26" s="10">
        <v>0</v>
      </c>
      <c r="L26" s="10">
        <v>0</v>
      </c>
      <c r="M26" s="10">
        <v>0</v>
      </c>
      <c r="N26" s="10">
        <v>0</v>
      </c>
      <c r="O26" s="10">
        <v>0</v>
      </c>
    </row>
    <row r="28" spans="2:20" ht="15.75" x14ac:dyDescent="0.25">
      <c r="B28" t="s">
        <v>21</v>
      </c>
      <c r="C28" s="11"/>
      <c r="D28" s="7">
        <v>0</v>
      </c>
      <c r="E28" s="7">
        <v>0</v>
      </c>
      <c r="F28" s="7">
        <v>0</v>
      </c>
      <c r="G28" s="7">
        <v>0</v>
      </c>
      <c r="H28" s="7">
        <v>0</v>
      </c>
      <c r="I28" s="7">
        <v>0</v>
      </c>
      <c r="J28" s="7">
        <v>0</v>
      </c>
      <c r="K28" s="7">
        <v>0</v>
      </c>
      <c r="L28" s="7">
        <v>0</v>
      </c>
      <c r="M28" s="7">
        <v>0</v>
      </c>
      <c r="N28" s="7">
        <v>0</v>
      </c>
      <c r="O28" s="7">
        <v>0</v>
      </c>
    </row>
    <row r="29" spans="2:20" ht="15.75" x14ac:dyDescent="0.25">
      <c r="B29" s="16" t="s">
        <v>22</v>
      </c>
      <c r="C29" s="17"/>
      <c r="D29" s="17">
        <v>0</v>
      </c>
      <c r="E29" s="17">
        <v>0</v>
      </c>
      <c r="F29" s="17">
        <v>0</v>
      </c>
      <c r="G29" s="17">
        <v>0</v>
      </c>
      <c r="H29" s="17">
        <v>0</v>
      </c>
      <c r="I29" s="17">
        <v>0</v>
      </c>
      <c r="J29" s="17">
        <v>0</v>
      </c>
      <c r="K29" s="17">
        <v>0</v>
      </c>
      <c r="L29" s="17">
        <v>0</v>
      </c>
      <c r="M29" s="17">
        <v>0</v>
      </c>
      <c r="N29" s="17">
        <v>0</v>
      </c>
      <c r="O29" s="17">
        <v>0</v>
      </c>
    </row>
    <row r="31" spans="2:20" ht="15.75" x14ac:dyDescent="0.25">
      <c r="B31" t="s">
        <v>100</v>
      </c>
      <c r="C31" s="11">
        <v>26000000</v>
      </c>
      <c r="D31" s="7">
        <f>C18+D20</f>
        <v>18800000</v>
      </c>
      <c r="E31" s="7">
        <f t="shared" ref="E31:O31" si="17">D31</f>
        <v>18800000</v>
      </c>
      <c r="F31" s="7">
        <f t="shared" si="17"/>
        <v>18800000</v>
      </c>
      <c r="G31" s="7">
        <f t="shared" si="17"/>
        <v>18800000</v>
      </c>
      <c r="H31" s="7">
        <f t="shared" si="17"/>
        <v>18800000</v>
      </c>
      <c r="I31" s="7">
        <f t="shared" si="17"/>
        <v>18800000</v>
      </c>
      <c r="J31" s="7">
        <f t="shared" si="17"/>
        <v>18800000</v>
      </c>
      <c r="K31" s="7">
        <f t="shared" si="17"/>
        <v>18800000</v>
      </c>
      <c r="L31" s="7">
        <f t="shared" si="17"/>
        <v>18800000</v>
      </c>
      <c r="M31" s="7">
        <f t="shared" si="17"/>
        <v>18800000</v>
      </c>
      <c r="N31" s="7">
        <f t="shared" si="17"/>
        <v>18800000</v>
      </c>
      <c r="O31" s="7">
        <f t="shared" si="17"/>
        <v>18800000</v>
      </c>
    </row>
    <row r="32" spans="2:20" ht="15.75" x14ac:dyDescent="0.25">
      <c r="B32" t="s">
        <v>23</v>
      </c>
      <c r="C32" s="11"/>
      <c r="D32" s="7">
        <f>D15</f>
        <v>-3670000</v>
      </c>
      <c r="E32" s="7">
        <f>E15+D32</f>
        <v>-7340000</v>
      </c>
      <c r="F32" s="7">
        <f t="shared" ref="F32:O32" si="18">F15+E32</f>
        <v>-11010000</v>
      </c>
      <c r="G32" s="7">
        <f t="shared" si="18"/>
        <v>-14680000</v>
      </c>
      <c r="H32" s="7">
        <f t="shared" si="18"/>
        <v>-18350000</v>
      </c>
      <c r="I32" s="7">
        <f t="shared" si="18"/>
        <v>-22020000</v>
      </c>
      <c r="J32" s="7">
        <f t="shared" si="18"/>
        <v>-25690000</v>
      </c>
      <c r="K32" s="7">
        <f t="shared" si="18"/>
        <v>-29360000</v>
      </c>
      <c r="L32" s="7">
        <f t="shared" si="18"/>
        <v>-33030000</v>
      </c>
      <c r="M32" s="7">
        <f t="shared" si="18"/>
        <v>-36700000</v>
      </c>
      <c r="N32" s="7">
        <f t="shared" si="18"/>
        <v>-40370000</v>
      </c>
      <c r="O32" s="7">
        <f t="shared" si="18"/>
        <v>-44040000</v>
      </c>
    </row>
    <row r="33" spans="1:15" ht="15.75" x14ac:dyDescent="0.25">
      <c r="B33" s="16" t="s">
        <v>24</v>
      </c>
      <c r="C33" s="17"/>
      <c r="D33" s="17">
        <f>SUM(D31,D32)</f>
        <v>15130000</v>
      </c>
      <c r="E33" s="17">
        <f t="shared" ref="E33:O33" si="19">SUM(E31,E32)</f>
        <v>11460000</v>
      </c>
      <c r="F33" s="17">
        <f t="shared" si="19"/>
        <v>7790000</v>
      </c>
      <c r="G33" s="17">
        <f t="shared" si="19"/>
        <v>4120000</v>
      </c>
      <c r="H33" s="17">
        <f t="shared" si="19"/>
        <v>450000</v>
      </c>
      <c r="I33" s="17">
        <f t="shared" si="19"/>
        <v>-3220000</v>
      </c>
      <c r="J33" s="17">
        <f t="shared" si="19"/>
        <v>-6890000</v>
      </c>
      <c r="K33" s="17">
        <f t="shared" si="19"/>
        <v>-10560000</v>
      </c>
      <c r="L33" s="17">
        <f t="shared" si="19"/>
        <v>-14230000</v>
      </c>
      <c r="M33" s="17">
        <f t="shared" si="19"/>
        <v>-17900000</v>
      </c>
      <c r="N33" s="17">
        <f t="shared" si="19"/>
        <v>-21570000</v>
      </c>
      <c r="O33" s="17">
        <f t="shared" si="19"/>
        <v>-25240000</v>
      </c>
    </row>
    <row r="35" spans="1:15" ht="15.75" x14ac:dyDescent="0.25">
      <c r="B35" s="12" t="s">
        <v>25</v>
      </c>
      <c r="C35" s="13"/>
      <c r="D35" s="13">
        <f>SUM(D29,D33)</f>
        <v>15130000</v>
      </c>
      <c r="E35" s="13">
        <f t="shared" ref="E35:O35" si="20">SUM(E29,E33)</f>
        <v>11460000</v>
      </c>
      <c r="F35" s="13">
        <f t="shared" si="20"/>
        <v>7790000</v>
      </c>
      <c r="G35" s="13">
        <f t="shared" si="20"/>
        <v>4120000</v>
      </c>
      <c r="H35" s="13">
        <f t="shared" si="20"/>
        <v>450000</v>
      </c>
      <c r="I35" s="13">
        <f t="shared" si="20"/>
        <v>-3220000</v>
      </c>
      <c r="J35" s="13">
        <f t="shared" si="20"/>
        <v>-6890000</v>
      </c>
      <c r="K35" s="13">
        <f t="shared" si="20"/>
        <v>-10560000</v>
      </c>
      <c r="L35" s="13">
        <f t="shared" si="20"/>
        <v>-14230000</v>
      </c>
      <c r="M35" s="13">
        <f t="shared" si="20"/>
        <v>-17900000</v>
      </c>
      <c r="N35" s="13">
        <f t="shared" si="20"/>
        <v>-21570000</v>
      </c>
      <c r="O35" s="13">
        <f t="shared" si="20"/>
        <v>-25240000</v>
      </c>
    </row>
    <row r="36" spans="1:15" ht="15.75" x14ac:dyDescent="0.25">
      <c r="B36" s="18" t="s">
        <v>26</v>
      </c>
      <c r="D36" s="7">
        <f>D22-D35</f>
        <v>0</v>
      </c>
      <c r="E36" s="7">
        <f t="shared" ref="E36:N36" si="21">E22-E35</f>
        <v>0</v>
      </c>
      <c r="F36" s="7">
        <f t="shared" si="21"/>
        <v>0</v>
      </c>
      <c r="G36" s="7">
        <f t="shared" si="21"/>
        <v>0</v>
      </c>
      <c r="H36" s="7">
        <f t="shared" si="21"/>
        <v>0</v>
      </c>
      <c r="I36" s="7">
        <f t="shared" si="21"/>
        <v>0</v>
      </c>
      <c r="J36" s="7">
        <f t="shared" si="21"/>
        <v>0</v>
      </c>
      <c r="K36" s="7">
        <f t="shared" si="21"/>
        <v>0</v>
      </c>
      <c r="L36" s="7">
        <f t="shared" si="21"/>
        <v>0</v>
      </c>
      <c r="M36" s="7">
        <f t="shared" si="21"/>
        <v>0</v>
      </c>
      <c r="N36" s="7">
        <f t="shared" si="21"/>
        <v>0</v>
      </c>
      <c r="O36" s="7">
        <f>O22-O35</f>
        <v>0</v>
      </c>
    </row>
    <row r="38" spans="1:15" ht="15.75" x14ac:dyDescent="0.25">
      <c r="A38" t="s">
        <v>1</v>
      </c>
      <c r="B38" s="3" t="s">
        <v>27</v>
      </c>
      <c r="C38" s="3"/>
      <c r="D38" s="3"/>
      <c r="E38" s="3"/>
      <c r="F38" s="3"/>
      <c r="G38" s="3"/>
      <c r="H38" s="3"/>
      <c r="I38" s="3"/>
      <c r="J38" s="3"/>
      <c r="K38" s="3"/>
      <c r="L38" s="3"/>
      <c r="M38" s="3"/>
      <c r="N38" s="3"/>
    </row>
    <row r="39" spans="1:15" x14ac:dyDescent="0.25">
      <c r="B39" t="s">
        <v>11</v>
      </c>
      <c r="C39" s="7"/>
      <c r="D39" s="7">
        <f t="shared" ref="D39:O39" si="22">D15</f>
        <v>-3670000</v>
      </c>
      <c r="E39" s="7">
        <f t="shared" si="22"/>
        <v>-3670000</v>
      </c>
      <c r="F39" s="7">
        <f t="shared" si="22"/>
        <v>-3670000</v>
      </c>
      <c r="G39" s="7">
        <f t="shared" si="22"/>
        <v>-3670000</v>
      </c>
      <c r="H39" s="7">
        <f t="shared" si="22"/>
        <v>-3670000</v>
      </c>
      <c r="I39" s="7">
        <f t="shared" si="22"/>
        <v>-3670000</v>
      </c>
      <c r="J39" s="7">
        <f t="shared" si="22"/>
        <v>-3670000</v>
      </c>
      <c r="K39" s="7">
        <f t="shared" si="22"/>
        <v>-3670000</v>
      </c>
      <c r="L39" s="7">
        <f t="shared" si="22"/>
        <v>-3670000</v>
      </c>
      <c r="M39" s="7">
        <f t="shared" si="22"/>
        <v>-3670000</v>
      </c>
      <c r="N39" s="7">
        <f t="shared" si="22"/>
        <v>-3670000</v>
      </c>
      <c r="O39" s="7">
        <f t="shared" si="22"/>
        <v>-3670000</v>
      </c>
    </row>
    <row r="40" spans="1:15" x14ac:dyDescent="0.25">
      <c r="B40" t="s">
        <v>28</v>
      </c>
      <c r="D40" s="7">
        <v>0</v>
      </c>
      <c r="E40" s="7">
        <v>0</v>
      </c>
      <c r="F40" s="7">
        <v>0</v>
      </c>
      <c r="G40" s="7">
        <v>0</v>
      </c>
      <c r="H40" s="7">
        <v>0</v>
      </c>
      <c r="I40" s="7">
        <v>0</v>
      </c>
      <c r="J40" s="7">
        <v>0</v>
      </c>
      <c r="K40" s="7">
        <v>0</v>
      </c>
      <c r="L40" s="7">
        <v>0</v>
      </c>
      <c r="M40" s="7">
        <v>0</v>
      </c>
      <c r="N40" s="7">
        <v>0</v>
      </c>
      <c r="O40" s="7">
        <v>0</v>
      </c>
    </row>
    <row r="41" spans="1:15" x14ac:dyDescent="0.25">
      <c r="B41" t="s">
        <v>97</v>
      </c>
      <c r="D41" s="7">
        <v>0</v>
      </c>
      <c r="E41" s="7">
        <v>0</v>
      </c>
      <c r="F41" s="7">
        <v>0</v>
      </c>
      <c r="G41" s="7">
        <v>0</v>
      </c>
      <c r="H41" s="7">
        <v>0</v>
      </c>
      <c r="I41" s="7">
        <v>0</v>
      </c>
      <c r="J41" s="7">
        <v>0</v>
      </c>
      <c r="K41" s="7">
        <v>0</v>
      </c>
      <c r="L41" s="7">
        <v>0</v>
      </c>
      <c r="M41" s="7">
        <v>0</v>
      </c>
      <c r="N41" s="7">
        <v>0</v>
      </c>
      <c r="O41" s="7">
        <v>0</v>
      </c>
    </row>
    <row r="42" spans="1:15" x14ac:dyDescent="0.25">
      <c r="B42" t="s">
        <v>29</v>
      </c>
      <c r="D42" s="7">
        <v>0</v>
      </c>
      <c r="E42" s="7">
        <v>0</v>
      </c>
      <c r="F42" s="7">
        <v>0</v>
      </c>
      <c r="G42" s="7">
        <v>0</v>
      </c>
      <c r="H42" s="7">
        <v>0</v>
      </c>
      <c r="I42" s="7">
        <v>0</v>
      </c>
      <c r="J42" s="7">
        <v>0</v>
      </c>
      <c r="K42" s="7">
        <v>0</v>
      </c>
      <c r="L42" s="7">
        <v>0</v>
      </c>
      <c r="M42" s="7">
        <v>0</v>
      </c>
      <c r="N42" s="7">
        <v>0</v>
      </c>
      <c r="O42" s="7">
        <v>0</v>
      </c>
    </row>
    <row r="43" spans="1:15" ht="15.75" x14ac:dyDescent="0.25">
      <c r="B43" s="16" t="s">
        <v>30</v>
      </c>
      <c r="C43" s="16"/>
      <c r="D43" s="17">
        <f>SUM(D39:D42)</f>
        <v>-3670000</v>
      </c>
      <c r="E43" s="17">
        <f t="shared" ref="E43:N43" si="23">SUM(E39:E42)</f>
        <v>-3670000</v>
      </c>
      <c r="F43" s="17">
        <f t="shared" si="23"/>
        <v>-3670000</v>
      </c>
      <c r="G43" s="17">
        <f t="shared" si="23"/>
        <v>-3670000</v>
      </c>
      <c r="H43" s="17">
        <f t="shared" si="23"/>
        <v>-3670000</v>
      </c>
      <c r="I43" s="17">
        <f t="shared" si="23"/>
        <v>-3670000</v>
      </c>
      <c r="J43" s="17">
        <f t="shared" si="23"/>
        <v>-3670000</v>
      </c>
      <c r="K43" s="17">
        <f t="shared" si="23"/>
        <v>-3670000</v>
      </c>
      <c r="L43" s="17">
        <f t="shared" si="23"/>
        <v>-3670000</v>
      </c>
      <c r="M43" s="17">
        <f t="shared" si="23"/>
        <v>-3670000</v>
      </c>
      <c r="N43" s="17">
        <f t="shared" si="23"/>
        <v>-3670000</v>
      </c>
      <c r="O43" s="17">
        <f>SUM(O39:O42)</f>
        <v>-3670000</v>
      </c>
    </row>
    <row r="45" spans="1:15" x14ac:dyDescent="0.25">
      <c r="B45" t="s">
        <v>31</v>
      </c>
      <c r="D45" s="7">
        <v>0</v>
      </c>
      <c r="E45" s="7">
        <v>0</v>
      </c>
      <c r="F45" s="7">
        <v>0</v>
      </c>
      <c r="G45" s="7">
        <v>0</v>
      </c>
      <c r="H45" s="7">
        <v>0</v>
      </c>
      <c r="I45" s="7">
        <v>0</v>
      </c>
      <c r="J45" s="7">
        <v>0</v>
      </c>
      <c r="K45" s="7">
        <v>0</v>
      </c>
      <c r="L45" s="7">
        <v>0</v>
      </c>
      <c r="M45" s="7">
        <v>0</v>
      </c>
      <c r="N45" s="7">
        <v>0</v>
      </c>
      <c r="O45" s="7">
        <v>0</v>
      </c>
    </row>
    <row r="46" spans="1:15" ht="15.75" x14ac:dyDescent="0.25">
      <c r="B46" s="16" t="s">
        <v>32</v>
      </c>
      <c r="C46" s="16"/>
      <c r="D46" s="17">
        <f>D45</f>
        <v>0</v>
      </c>
      <c r="E46" s="17">
        <f t="shared" ref="E46:O46" si="24">E45</f>
        <v>0</v>
      </c>
      <c r="F46" s="17">
        <f t="shared" si="24"/>
        <v>0</v>
      </c>
      <c r="G46" s="17">
        <f t="shared" si="24"/>
        <v>0</v>
      </c>
      <c r="H46" s="17">
        <f t="shared" si="24"/>
        <v>0</v>
      </c>
      <c r="I46" s="17">
        <f t="shared" si="24"/>
        <v>0</v>
      </c>
      <c r="J46" s="17">
        <f t="shared" si="24"/>
        <v>0</v>
      </c>
      <c r="K46" s="17">
        <f t="shared" si="24"/>
        <v>0</v>
      </c>
      <c r="L46" s="17">
        <f t="shared" si="24"/>
        <v>0</v>
      </c>
      <c r="M46" s="17">
        <f t="shared" si="24"/>
        <v>0</v>
      </c>
      <c r="N46" s="17">
        <f t="shared" si="24"/>
        <v>0</v>
      </c>
      <c r="O46" s="17">
        <f t="shared" si="24"/>
        <v>0</v>
      </c>
    </row>
    <row r="48" spans="1:15" x14ac:dyDescent="0.25">
      <c r="B48" t="s">
        <v>33</v>
      </c>
      <c r="D48" s="7">
        <v>0</v>
      </c>
      <c r="E48" s="7">
        <v>0</v>
      </c>
      <c r="F48" s="7">
        <v>0</v>
      </c>
      <c r="G48" s="7">
        <v>0</v>
      </c>
      <c r="H48" s="7">
        <v>0</v>
      </c>
      <c r="I48" s="7">
        <v>0</v>
      </c>
      <c r="J48" s="7">
        <v>0</v>
      </c>
      <c r="K48" s="7">
        <v>0</v>
      </c>
      <c r="L48" s="7">
        <v>0</v>
      </c>
      <c r="M48" s="7">
        <v>0</v>
      </c>
      <c r="N48" s="7">
        <v>0</v>
      </c>
      <c r="O48" s="7">
        <v>0</v>
      </c>
    </row>
    <row r="49" spans="1:17" x14ac:dyDescent="0.25">
      <c r="B49" t="s">
        <v>34</v>
      </c>
      <c r="D49" s="7"/>
      <c r="E49" s="7"/>
      <c r="F49" s="7"/>
      <c r="G49" s="7"/>
      <c r="H49" s="7"/>
      <c r="I49" s="7"/>
      <c r="J49" s="7"/>
      <c r="K49" s="7"/>
      <c r="L49" s="7"/>
      <c r="M49" s="7"/>
      <c r="N49" s="7"/>
      <c r="O49" s="7"/>
    </row>
    <row r="50" spans="1:17" x14ac:dyDescent="0.25">
      <c r="B50" t="s">
        <v>35</v>
      </c>
      <c r="D50" s="7"/>
      <c r="E50" s="7"/>
      <c r="F50" s="7"/>
      <c r="G50" s="7"/>
      <c r="H50" s="7"/>
      <c r="I50" s="7"/>
      <c r="J50" s="7"/>
      <c r="K50" s="7"/>
      <c r="L50" s="7"/>
      <c r="M50" s="7"/>
      <c r="N50" s="7"/>
      <c r="O50" s="7"/>
    </row>
    <row r="51" spans="1:17" x14ac:dyDescent="0.25">
      <c r="B51" t="s">
        <v>36</v>
      </c>
      <c r="D51" s="7">
        <v>0</v>
      </c>
      <c r="E51" s="7">
        <v>0</v>
      </c>
      <c r="F51" s="7">
        <v>0</v>
      </c>
      <c r="G51" s="7">
        <v>0</v>
      </c>
      <c r="H51" s="7">
        <v>0</v>
      </c>
      <c r="I51" s="7">
        <v>0</v>
      </c>
      <c r="J51" s="7">
        <v>0</v>
      </c>
      <c r="K51" s="7">
        <v>0</v>
      </c>
      <c r="L51" s="7">
        <v>0</v>
      </c>
      <c r="M51" s="7">
        <v>0</v>
      </c>
      <c r="N51" s="7">
        <v>0</v>
      </c>
      <c r="O51" s="7">
        <v>0</v>
      </c>
    </row>
    <row r="52" spans="1:17" ht="15.75" x14ac:dyDescent="0.25">
      <c r="B52" s="16" t="s">
        <v>37</v>
      </c>
      <c r="C52" s="16"/>
      <c r="D52" s="17">
        <v>0</v>
      </c>
      <c r="E52" s="17">
        <v>0</v>
      </c>
      <c r="F52" s="17">
        <v>0</v>
      </c>
      <c r="G52" s="17">
        <v>0</v>
      </c>
      <c r="H52" s="17">
        <v>0</v>
      </c>
      <c r="I52" s="17">
        <v>0</v>
      </c>
      <c r="J52" s="17">
        <v>0</v>
      </c>
      <c r="K52" s="17">
        <v>0</v>
      </c>
      <c r="L52" s="17">
        <v>0</v>
      </c>
      <c r="M52" s="17">
        <v>0</v>
      </c>
      <c r="N52" s="17">
        <v>0</v>
      </c>
      <c r="O52" s="17">
        <v>0</v>
      </c>
    </row>
    <row r="53" spans="1:17" ht="15.75" x14ac:dyDescent="0.25">
      <c r="B53" s="16"/>
      <c r="D53" s="7">
        <f>SUM(D48:D51)</f>
        <v>0</v>
      </c>
    </row>
    <row r="54" spans="1:17" x14ac:dyDescent="0.25">
      <c r="B54" t="s">
        <v>99</v>
      </c>
      <c r="D54" s="8">
        <f>C18</f>
        <v>8000000</v>
      </c>
      <c r="E54" s="7">
        <f>D56</f>
        <v>4330000</v>
      </c>
      <c r="F54" s="7">
        <f t="shared" ref="F54:M54" si="25">E56</f>
        <v>660000</v>
      </c>
      <c r="G54" s="7">
        <f t="shared" si="25"/>
        <v>-3010000</v>
      </c>
      <c r="H54" s="7">
        <f t="shared" si="25"/>
        <v>-6680000</v>
      </c>
      <c r="I54" s="7">
        <f t="shared" si="25"/>
        <v>-10350000</v>
      </c>
      <c r="J54" s="7">
        <f t="shared" si="25"/>
        <v>-14020000</v>
      </c>
      <c r="K54" s="7">
        <f t="shared" si="25"/>
        <v>-17690000</v>
      </c>
      <c r="L54" s="7">
        <f t="shared" si="25"/>
        <v>-21360000</v>
      </c>
      <c r="M54" s="7">
        <f t="shared" si="25"/>
        <v>-25030000</v>
      </c>
      <c r="N54" s="7">
        <f>M56</f>
        <v>-28700000</v>
      </c>
      <c r="O54" s="7">
        <f>N56</f>
        <v>-32370000</v>
      </c>
    </row>
    <row r="55" spans="1:17" ht="15.75" x14ac:dyDescent="0.25">
      <c r="B55" s="12" t="s">
        <v>38</v>
      </c>
      <c r="C55" s="12"/>
      <c r="D55" s="13">
        <f>SUM(D43,D46,D52)</f>
        <v>-3670000</v>
      </c>
      <c r="E55" s="13">
        <f>SUM(E43,E46,E52)</f>
        <v>-3670000</v>
      </c>
      <c r="F55" s="13">
        <f t="shared" ref="F55:M55" si="26">SUM(F43,F46,F52)</f>
        <v>-3670000</v>
      </c>
      <c r="G55" s="13">
        <f t="shared" si="26"/>
        <v>-3670000</v>
      </c>
      <c r="H55" s="13">
        <f t="shared" si="26"/>
        <v>-3670000</v>
      </c>
      <c r="I55" s="13">
        <f t="shared" si="26"/>
        <v>-3670000</v>
      </c>
      <c r="J55" s="13">
        <f t="shared" si="26"/>
        <v>-3670000</v>
      </c>
      <c r="K55" s="13">
        <f t="shared" si="26"/>
        <v>-3670000</v>
      </c>
      <c r="L55" s="13">
        <f t="shared" si="26"/>
        <v>-3670000</v>
      </c>
      <c r="M55" s="13">
        <f t="shared" si="26"/>
        <v>-3670000</v>
      </c>
      <c r="N55" s="13">
        <f>SUM(N43,N46,N52)</f>
        <v>-3670000</v>
      </c>
      <c r="O55" s="13">
        <f>SUM(O43,O46,O52)</f>
        <v>-3670000</v>
      </c>
    </row>
    <row r="56" spans="1:17" x14ac:dyDescent="0.25">
      <c r="B56" t="s">
        <v>98</v>
      </c>
      <c r="D56" s="7">
        <f>SUM(D54:D55)</f>
        <v>4330000</v>
      </c>
      <c r="E56" s="7">
        <f>SUM(E54:E55)</f>
        <v>660000</v>
      </c>
      <c r="F56" s="7">
        <f t="shared" ref="F56:M56" si="27">SUM(F54:F55)</f>
        <v>-3010000</v>
      </c>
      <c r="G56" s="7">
        <f t="shared" si="27"/>
        <v>-6680000</v>
      </c>
      <c r="H56" s="7">
        <f t="shared" si="27"/>
        <v>-10350000</v>
      </c>
      <c r="I56" s="7">
        <f t="shared" si="27"/>
        <v>-14020000</v>
      </c>
      <c r="J56" s="7">
        <f t="shared" si="27"/>
        <v>-17690000</v>
      </c>
      <c r="K56" s="7">
        <f t="shared" si="27"/>
        <v>-21360000</v>
      </c>
      <c r="L56" s="7">
        <f t="shared" si="27"/>
        <v>-25030000</v>
      </c>
      <c r="M56" s="7">
        <f t="shared" si="27"/>
        <v>-28700000</v>
      </c>
      <c r="N56" s="7">
        <f>SUM(N54:N55)</f>
        <v>-32370000</v>
      </c>
      <c r="O56" s="7">
        <f>SUM(O54:O55)</f>
        <v>-36040000</v>
      </c>
    </row>
    <row r="57" spans="1:17" ht="15.75" x14ac:dyDescent="0.25">
      <c r="C57" s="20"/>
      <c r="D57" s="20"/>
      <c r="E57" s="20"/>
      <c r="F57" s="20"/>
      <c r="G57" s="20"/>
      <c r="H57" s="20"/>
    </row>
    <row r="58" spans="1:17" ht="15.75" x14ac:dyDescent="0.25">
      <c r="A58" t="s">
        <v>1</v>
      </c>
      <c r="B58" s="3" t="s">
        <v>39</v>
      </c>
      <c r="C58" s="3"/>
      <c r="D58" s="3"/>
      <c r="E58" s="3"/>
      <c r="F58" s="3"/>
      <c r="G58" s="3"/>
      <c r="H58" s="3"/>
      <c r="I58" s="3"/>
      <c r="J58" s="3"/>
      <c r="K58" s="3"/>
      <c r="L58" s="3"/>
      <c r="M58" s="3"/>
      <c r="N58" s="3"/>
      <c r="O58" s="3"/>
    </row>
    <row r="59" spans="1:17" ht="15.75" x14ac:dyDescent="0.25">
      <c r="B59" s="21" t="s">
        <v>40</v>
      </c>
      <c r="C59" s="22"/>
      <c r="D59" s="22"/>
      <c r="E59" s="22"/>
      <c r="F59" s="22"/>
      <c r="G59" s="22"/>
      <c r="H59" s="22"/>
      <c r="I59" s="22"/>
      <c r="J59" s="22"/>
      <c r="K59" s="22"/>
      <c r="L59" s="22"/>
      <c r="M59" s="22"/>
      <c r="N59" s="22"/>
      <c r="O59" s="22"/>
    </row>
    <row r="60" spans="1:17" ht="15.75" x14ac:dyDescent="0.25">
      <c r="B60" t="s">
        <v>41</v>
      </c>
      <c r="D60" s="23">
        <f>CHOOSE(Cover!$C$6,2000,2500,1200)</f>
        <v>1200</v>
      </c>
      <c r="E60" s="23">
        <f>CHOOSE(Cover!$C$6,2000,2500,1200)</f>
        <v>1200</v>
      </c>
      <c r="F60" s="23">
        <f>CHOOSE(Cover!$C$6,2000,2500,1200)</f>
        <v>1200</v>
      </c>
      <c r="G60" s="23">
        <f>CHOOSE(Cover!$C$6,2000,2500,1200)</f>
        <v>1200</v>
      </c>
      <c r="H60" s="23">
        <f>CHOOSE(Cover!$C$6,2000,2500,1200)</f>
        <v>1200</v>
      </c>
      <c r="I60" s="23">
        <f>CHOOSE(Cover!$C$6,2000,2500,1200)</f>
        <v>1200</v>
      </c>
      <c r="J60" s="23">
        <f>CHOOSE(Cover!$C$6,2000,2500,1200)</f>
        <v>1200</v>
      </c>
      <c r="K60" s="23">
        <f>CHOOSE(Cover!$C$6,2000,2500,1200)</f>
        <v>1200</v>
      </c>
      <c r="L60" s="23">
        <f>CHOOSE(Cover!$C$6,2000,2500,1200)</f>
        <v>1200</v>
      </c>
      <c r="M60" s="23">
        <f>CHOOSE(Cover!$C$6,2000,2500,1200)</f>
        <v>1200</v>
      </c>
      <c r="N60" s="23">
        <f>CHOOSE(Cover!$C$6,2000,2500,1200)</f>
        <v>1200</v>
      </c>
      <c r="O60" s="23">
        <f>CHOOSE(Cover!$C$6,2000,2500,1200)</f>
        <v>1200</v>
      </c>
    </row>
    <row r="61" spans="1:17" ht="15.75" x14ac:dyDescent="0.25">
      <c r="B61" t="s">
        <v>42</v>
      </c>
      <c r="D61" s="23">
        <f>CHOOSE(Cover!$C$6,20000,22000,18000)</f>
        <v>18000</v>
      </c>
      <c r="E61" s="23">
        <f>CHOOSE(Cover!$C$6,20000,22000,18000)</f>
        <v>18000</v>
      </c>
      <c r="F61" s="23">
        <f>CHOOSE(Cover!$C$6,20000,22000,18000)</f>
        <v>18000</v>
      </c>
      <c r="G61" s="23">
        <f>CHOOSE(Cover!$C$6,20000,22000,18000)</f>
        <v>18000</v>
      </c>
      <c r="H61" s="23">
        <f>CHOOSE(Cover!$C$6,20000,22000,18000)</f>
        <v>18000</v>
      </c>
      <c r="I61" s="23">
        <f>CHOOSE(Cover!$C$6,20000,22000,18000)</f>
        <v>18000</v>
      </c>
      <c r="J61" s="23">
        <f>CHOOSE(Cover!$C$6,20000,22000,18000)</f>
        <v>18000</v>
      </c>
      <c r="K61" s="23">
        <f>CHOOSE(Cover!$C$6,20000,22000,18000)</f>
        <v>18000</v>
      </c>
      <c r="L61" s="23">
        <f>CHOOSE(Cover!$C$6,20000,22000,18000)</f>
        <v>18000</v>
      </c>
      <c r="M61" s="23">
        <f>CHOOSE(Cover!$C$6,20000,22000,18000)</f>
        <v>18000</v>
      </c>
      <c r="N61" s="23">
        <f>CHOOSE(Cover!$C$6,20000,22000,18000)</f>
        <v>18000</v>
      </c>
      <c r="O61" s="23">
        <f>CHOOSE(Cover!$C$6,20000,22000,18000)</f>
        <v>18000</v>
      </c>
    </row>
    <row r="62" spans="1:17" ht="15.75" x14ac:dyDescent="0.25">
      <c r="B62" t="s">
        <v>87</v>
      </c>
      <c r="D62" s="23">
        <f>CHOOSE(Cover!$C$6, 2500, 2000, 5000)</f>
        <v>5000</v>
      </c>
      <c r="E62" s="23">
        <f>CHOOSE(Cover!$C$6, 2500, 2000, 5000)</f>
        <v>5000</v>
      </c>
      <c r="F62" s="23">
        <f>CHOOSE(Cover!$C$6, 2500, 2000, 5000)</f>
        <v>5000</v>
      </c>
      <c r="G62" s="23">
        <f>CHOOSE(Cover!$C$6, 2500, 2000, 5000)</f>
        <v>5000</v>
      </c>
      <c r="H62" s="23">
        <f>CHOOSE(Cover!$C$6, 2500, 2000, 5000)</f>
        <v>5000</v>
      </c>
      <c r="I62" s="23">
        <f>CHOOSE(Cover!$C$6, 2500, 2000, 5000)</f>
        <v>5000</v>
      </c>
      <c r="J62" s="23">
        <f>CHOOSE(Cover!$C$6, 2500, 2000, 5000)</f>
        <v>5000</v>
      </c>
      <c r="K62" s="23">
        <f>CHOOSE(Cover!$C$6, 2500, 2000, 5000)</f>
        <v>5000</v>
      </c>
      <c r="L62" s="23">
        <f>CHOOSE(Cover!$C$6, 2500, 2000, 5000)</f>
        <v>5000</v>
      </c>
      <c r="M62" s="23">
        <f>CHOOSE(Cover!$C$6, 2500, 2000, 5000)</f>
        <v>5000</v>
      </c>
      <c r="N62" s="23">
        <f>CHOOSE(Cover!$C$6, 2500, 2000, 5000)</f>
        <v>5000</v>
      </c>
      <c r="O62" s="23">
        <f>CHOOSE(Cover!$C$6, 2500, 2000, 5000)</f>
        <v>5000</v>
      </c>
    </row>
    <row r="63" spans="1:17" ht="15.75" x14ac:dyDescent="0.25">
      <c r="B63" t="s">
        <v>88</v>
      </c>
      <c r="D63" s="31">
        <f>CHOOSE(Cover!$C$6, 0.15, 0.1, 0.35)</f>
        <v>0.35</v>
      </c>
      <c r="E63" s="31">
        <f>CHOOSE(Cover!$C$6, 0.15, 0.1, 0.35)</f>
        <v>0.35</v>
      </c>
      <c r="F63" s="31">
        <f>CHOOSE(Cover!$C$6, 0.15, 0.1, 0.35)</f>
        <v>0.35</v>
      </c>
      <c r="G63" s="31">
        <f>CHOOSE(Cover!$C$6, 0.15, 0.1, 0.35)</f>
        <v>0.35</v>
      </c>
      <c r="H63" s="31">
        <f>CHOOSE(Cover!$C$6, 0.15, 0.1, 0.35)</f>
        <v>0.35</v>
      </c>
      <c r="I63" s="31">
        <f>CHOOSE(Cover!$C$6, 0.15, 0.1, 0.35)</f>
        <v>0.35</v>
      </c>
      <c r="J63" s="31">
        <f>CHOOSE(Cover!$C$6, 0.15, 0.1, 0.35)</f>
        <v>0.35</v>
      </c>
      <c r="K63" s="31">
        <f>CHOOSE(Cover!$C$6, 0.15, 0.1, 0.35)</f>
        <v>0.35</v>
      </c>
      <c r="L63" s="31">
        <f>CHOOSE(Cover!$C$6, 0.15, 0.1, 0.35)</f>
        <v>0.35</v>
      </c>
      <c r="M63" s="31">
        <f>CHOOSE(Cover!$C$6, 0.15, 0.1, 0.35)</f>
        <v>0.35</v>
      </c>
      <c r="N63" s="31">
        <f>CHOOSE(Cover!$C$6, 0.15, 0.1, 0.35)</f>
        <v>0.35</v>
      </c>
      <c r="O63" s="31">
        <f>CHOOSE(Cover!$C$6, 0.15, 0.1, 0.35)</f>
        <v>0.35</v>
      </c>
      <c r="P63" s="31"/>
      <c r="Q63" s="31"/>
    </row>
    <row r="64" spans="1:17" ht="15.75" x14ac:dyDescent="0.25">
      <c r="B64" t="s">
        <v>91</v>
      </c>
      <c r="D64" s="23">
        <f>CHOOSE(Cover!$C$6,2500,2000,5000)</f>
        <v>5000</v>
      </c>
      <c r="E64" s="23">
        <f>CHOOSE(Cover!$C$6,2500,2000,5000)</f>
        <v>5000</v>
      </c>
      <c r="F64" s="23">
        <f>CHOOSE(Cover!$C$6,2500,2000,5000)</f>
        <v>5000</v>
      </c>
      <c r="G64" s="23">
        <f>CHOOSE(Cover!$C$6,2500,2000,5000)</f>
        <v>5000</v>
      </c>
      <c r="H64" s="23">
        <f>CHOOSE(Cover!$C$6,2500,2000,5000)</f>
        <v>5000</v>
      </c>
      <c r="I64" s="23">
        <f>CHOOSE(Cover!$C$6,2500,2000,5000)</f>
        <v>5000</v>
      </c>
      <c r="J64" s="23">
        <f>CHOOSE(Cover!$C$6,2500,2000,5000)</f>
        <v>5000</v>
      </c>
      <c r="K64" s="23">
        <f>CHOOSE(Cover!$C$6,2500,2000,5000)</f>
        <v>5000</v>
      </c>
      <c r="L64" s="23">
        <f>CHOOSE(Cover!$C$6,2500,2000,5000)</f>
        <v>5000</v>
      </c>
      <c r="M64" s="23">
        <f>CHOOSE(Cover!$C$6,2500,2000,5000)</f>
        <v>5000</v>
      </c>
      <c r="N64" s="23">
        <f>CHOOSE(Cover!$C$6,2500,2000,5000)</f>
        <v>5000</v>
      </c>
      <c r="O64" s="23">
        <f>CHOOSE(Cover!$C$6,2500,2000,5000)</f>
        <v>5000</v>
      </c>
    </row>
    <row r="65" spans="2:15" ht="15.75" x14ac:dyDescent="0.25">
      <c r="D65" s="23"/>
      <c r="E65" s="23"/>
      <c r="F65" s="23"/>
      <c r="G65" s="23"/>
      <c r="H65" s="23"/>
      <c r="I65" s="23"/>
      <c r="J65" s="23"/>
      <c r="K65" s="23"/>
      <c r="L65" s="23"/>
      <c r="M65" s="23"/>
      <c r="N65" s="23"/>
      <c r="O65" s="23"/>
    </row>
    <row r="66" spans="2:15" ht="15.75" x14ac:dyDescent="0.25">
      <c r="B66" t="s">
        <v>43</v>
      </c>
      <c r="D66" s="31">
        <f>CHOOSE(Cover!$C$6, 0.45, 0.4, 0.5)</f>
        <v>0.5</v>
      </c>
      <c r="E66" s="31">
        <f>CHOOSE(Cover!$C$6, 0.45, 0.4, 0.5)</f>
        <v>0.5</v>
      </c>
      <c r="F66" s="31">
        <f>CHOOSE(Cover!$C$6, 0.45, 0.4, 0.5)</f>
        <v>0.5</v>
      </c>
      <c r="G66" s="31">
        <f>CHOOSE(Cover!$C$6, 0.45, 0.4, 0.5)</f>
        <v>0.5</v>
      </c>
      <c r="H66" s="31">
        <f>CHOOSE(Cover!$C$6, 0.45, 0.4, 0.5)</f>
        <v>0.5</v>
      </c>
      <c r="I66" s="31">
        <f>CHOOSE(Cover!$C$6, 0.45, 0.4, 0.5)</f>
        <v>0.5</v>
      </c>
      <c r="J66" s="31">
        <f>CHOOSE(Cover!$C$6, 0.45, 0.4, 0.5)</f>
        <v>0.5</v>
      </c>
      <c r="K66" s="31">
        <f>CHOOSE(Cover!$C$6, 0.45, 0.4, 0.5)</f>
        <v>0.5</v>
      </c>
      <c r="L66" s="31">
        <f>CHOOSE(Cover!$C$6, 0.45, 0.4, 0.5)</f>
        <v>0.5</v>
      </c>
      <c r="M66" s="31">
        <f>CHOOSE(Cover!$C$6, 0.45, 0.4, 0.5)</f>
        <v>0.5</v>
      </c>
      <c r="N66" s="31">
        <f>CHOOSE(Cover!$C$6, 0.45, 0.4, 0.5)</f>
        <v>0.5</v>
      </c>
      <c r="O66" s="31">
        <f>CHOOSE(Cover!$C$6, 0.45, 0.4, 0.5)</f>
        <v>0.5</v>
      </c>
    </row>
    <row r="67" spans="2:15" ht="15.75" x14ac:dyDescent="0.25">
      <c r="B67" t="s">
        <v>90</v>
      </c>
      <c r="D67" s="31">
        <f>CHOOSE(Cover!$C$6, 0.25, 0.2, 0.45)</f>
        <v>0.45</v>
      </c>
      <c r="E67" s="31">
        <f>CHOOSE(Cover!$C$6, 0.25, 0.2, 0.45)</f>
        <v>0.45</v>
      </c>
      <c r="F67" s="31">
        <f>CHOOSE(Cover!$C$6, 0.25, 0.2, 0.45)</f>
        <v>0.45</v>
      </c>
      <c r="G67" s="31">
        <f>CHOOSE(Cover!$C$6, 0.25, 0.2, 0.45)</f>
        <v>0.45</v>
      </c>
      <c r="H67" s="31">
        <f>CHOOSE(Cover!$C$6, 0.25, 0.2, 0.45)</f>
        <v>0.45</v>
      </c>
      <c r="I67" s="31">
        <f>CHOOSE(Cover!$C$6, 0.25, 0.2, 0.45)</f>
        <v>0.45</v>
      </c>
      <c r="J67" s="31">
        <f>CHOOSE(Cover!$C$6, 0.25, 0.2, 0.45)</f>
        <v>0.45</v>
      </c>
      <c r="K67" s="31">
        <f>CHOOSE(Cover!$C$6, 0.25, 0.2, 0.45)</f>
        <v>0.45</v>
      </c>
      <c r="L67" s="31">
        <f>CHOOSE(Cover!$C$6, 0.25, 0.2, 0.45)</f>
        <v>0.45</v>
      </c>
      <c r="M67" s="31">
        <f>CHOOSE(Cover!$C$6, 0.25, 0.2, 0.45)</f>
        <v>0.45</v>
      </c>
      <c r="N67" s="31">
        <f>CHOOSE(Cover!$C$6, 0.25, 0.2, 0.45)</f>
        <v>0.45</v>
      </c>
      <c r="O67" s="31">
        <f>CHOOSE(Cover!$C$6, 0.25, 0.2, 0.45)</f>
        <v>0.45</v>
      </c>
    </row>
    <row r="68" spans="2:15" x14ac:dyDescent="0.25">
      <c r="D68" s="26"/>
      <c r="E68" s="27"/>
      <c r="F68" s="27"/>
      <c r="G68" s="27"/>
      <c r="H68" s="27"/>
    </row>
    <row r="69" spans="2:15" ht="15.75" x14ac:dyDescent="0.25">
      <c r="B69" t="s">
        <v>44</v>
      </c>
      <c r="D69" s="32">
        <v>0.3</v>
      </c>
      <c r="E69" s="32">
        <v>0.3</v>
      </c>
      <c r="F69" s="32">
        <v>0.3</v>
      </c>
      <c r="G69" s="32">
        <v>0.3</v>
      </c>
      <c r="H69" s="32">
        <v>0.3</v>
      </c>
      <c r="I69" s="32">
        <v>0.3</v>
      </c>
      <c r="J69" s="32">
        <v>0.3</v>
      </c>
      <c r="K69" s="32">
        <v>0.3</v>
      </c>
      <c r="L69" s="32">
        <v>0.3</v>
      </c>
      <c r="M69" s="32">
        <v>0.3</v>
      </c>
      <c r="N69" s="32">
        <v>0.3</v>
      </c>
      <c r="O69" s="32">
        <v>0.3</v>
      </c>
    </row>
    <row r="71" spans="2:15" ht="15.75" x14ac:dyDescent="0.25">
      <c r="B71" t="s">
        <v>3</v>
      </c>
      <c r="C71" s="11">
        <v>40000000</v>
      </c>
      <c r="D71" s="7"/>
      <c r="E71" s="7"/>
      <c r="F71" s="7"/>
      <c r="G71" s="7"/>
      <c r="H71" s="7"/>
    </row>
    <row r="72" spans="2:15" ht="15.75" x14ac:dyDescent="0.25">
      <c r="B72" t="s">
        <v>45</v>
      </c>
      <c r="C72" s="11">
        <v>15000000</v>
      </c>
      <c r="D72" s="7"/>
      <c r="E72" s="7"/>
      <c r="F72" s="7"/>
      <c r="G72" s="7"/>
      <c r="H72" s="7"/>
    </row>
    <row r="74" spans="2:15" ht="15.75" x14ac:dyDescent="0.25">
      <c r="B74" s="21" t="s">
        <v>92</v>
      </c>
      <c r="C74" s="22"/>
      <c r="D74" s="22"/>
      <c r="E74" s="22"/>
      <c r="F74" s="22"/>
      <c r="G74" s="22"/>
      <c r="H74" s="22"/>
      <c r="I74" s="22"/>
      <c r="J74" s="22"/>
      <c r="K74" s="22"/>
      <c r="L74" s="22"/>
      <c r="M74" s="22"/>
      <c r="N74" s="22"/>
      <c r="O74" s="22"/>
    </row>
    <row r="75" spans="2:15" ht="15.75" x14ac:dyDescent="0.25">
      <c r="B75" t="s">
        <v>93</v>
      </c>
      <c r="D75" s="33">
        <v>500000</v>
      </c>
      <c r="E75" s="33">
        <v>500000</v>
      </c>
      <c r="F75" s="33">
        <v>500000</v>
      </c>
      <c r="G75" s="33">
        <v>500000</v>
      </c>
      <c r="H75" s="33">
        <v>500000</v>
      </c>
      <c r="I75" s="33">
        <v>500000</v>
      </c>
      <c r="J75" s="33">
        <v>500000</v>
      </c>
      <c r="K75" s="33">
        <v>500000</v>
      </c>
      <c r="L75" s="33">
        <v>500000</v>
      </c>
      <c r="M75" s="33">
        <v>500000</v>
      </c>
      <c r="N75" s="33">
        <v>500000</v>
      </c>
      <c r="O75" s="33">
        <v>500000</v>
      </c>
    </row>
    <row r="76" spans="2:15" ht="15.75" x14ac:dyDescent="0.25">
      <c r="B76" t="s">
        <v>94</v>
      </c>
      <c r="D76" s="33">
        <v>300000</v>
      </c>
      <c r="E76" s="33">
        <v>300000</v>
      </c>
      <c r="F76" s="33">
        <v>300000</v>
      </c>
      <c r="G76" s="33">
        <v>300000</v>
      </c>
      <c r="H76" s="33">
        <v>300000</v>
      </c>
      <c r="I76" s="33">
        <v>300000</v>
      </c>
      <c r="J76" s="33">
        <v>300000</v>
      </c>
      <c r="K76" s="33">
        <v>300000</v>
      </c>
      <c r="L76" s="33">
        <v>300000</v>
      </c>
      <c r="M76" s="33">
        <v>300000</v>
      </c>
      <c r="N76" s="33">
        <v>300000</v>
      </c>
      <c r="O76" s="33">
        <v>300000</v>
      </c>
    </row>
    <row r="77" spans="2:15" ht="15.75" x14ac:dyDescent="0.25">
      <c r="B77" t="s">
        <v>95</v>
      </c>
      <c r="D77" s="33">
        <v>50000</v>
      </c>
      <c r="E77" s="33">
        <v>50000</v>
      </c>
      <c r="F77" s="33">
        <v>50000</v>
      </c>
      <c r="G77" s="33">
        <v>50000</v>
      </c>
      <c r="H77" s="33">
        <v>50000</v>
      </c>
      <c r="I77" s="33">
        <v>50000</v>
      </c>
      <c r="J77" s="33">
        <v>50000</v>
      </c>
      <c r="K77" s="33">
        <v>50000</v>
      </c>
      <c r="L77" s="33">
        <v>50000</v>
      </c>
      <c r="M77" s="33">
        <v>50000</v>
      </c>
      <c r="N77" s="33">
        <v>50000</v>
      </c>
      <c r="O77" s="33">
        <v>50000</v>
      </c>
    </row>
    <row r="78" spans="2:15" ht="15.75" x14ac:dyDescent="0.25">
      <c r="B78" s="9" t="s">
        <v>96</v>
      </c>
      <c r="C78" s="10"/>
      <c r="D78" s="10">
        <f>SUM(D75:D77)</f>
        <v>850000</v>
      </c>
      <c r="E78" s="10">
        <f t="shared" ref="E78:O78" si="28">SUM(E75:E77)</f>
        <v>850000</v>
      </c>
      <c r="F78" s="10">
        <f t="shared" si="28"/>
        <v>850000</v>
      </c>
      <c r="G78" s="10">
        <f t="shared" si="28"/>
        <v>850000</v>
      </c>
      <c r="H78" s="10">
        <f t="shared" si="28"/>
        <v>850000</v>
      </c>
      <c r="I78" s="10">
        <f t="shared" si="28"/>
        <v>850000</v>
      </c>
      <c r="J78" s="10">
        <f t="shared" si="28"/>
        <v>850000</v>
      </c>
      <c r="K78" s="10">
        <f t="shared" si="28"/>
        <v>850000</v>
      </c>
      <c r="L78" s="10">
        <f t="shared" si="28"/>
        <v>850000</v>
      </c>
      <c r="M78" s="10">
        <f t="shared" si="28"/>
        <v>850000</v>
      </c>
      <c r="N78" s="10">
        <f t="shared" si="28"/>
        <v>850000</v>
      </c>
      <c r="O78" s="10">
        <f t="shared" si="28"/>
        <v>850000</v>
      </c>
    </row>
    <row r="81" spans="1:14" ht="15.75" x14ac:dyDescent="0.25">
      <c r="B81" s="21" t="s">
        <v>46</v>
      </c>
      <c r="C81" s="22"/>
      <c r="D81" s="22"/>
      <c r="E81" s="22"/>
      <c r="F81" s="22"/>
      <c r="G81" s="22"/>
      <c r="H81" s="22"/>
      <c r="I81" s="22"/>
      <c r="J81" s="22"/>
      <c r="K81" s="22"/>
      <c r="L81" s="22"/>
      <c r="M81" s="22"/>
      <c r="N81" s="22"/>
    </row>
    <row r="82" spans="1:14" x14ac:dyDescent="0.25">
      <c r="B82" t="str">
        <f>B19&amp;" as a % of Rev"</f>
        <v>Accounts Receivable as a % of Rev</v>
      </c>
      <c r="C82" s="26"/>
      <c r="D82" s="27"/>
      <c r="E82" s="27"/>
      <c r="F82" s="27"/>
      <c r="G82" s="27"/>
      <c r="H82" s="27"/>
    </row>
    <row r="83" spans="1:14" x14ac:dyDescent="0.25">
      <c r="B83" t="str">
        <f>B20&amp;" as a % of COGS"</f>
        <v>Inventory as a % of COGS</v>
      </c>
      <c r="C83" s="26"/>
      <c r="D83" s="27"/>
      <c r="E83" s="27"/>
      <c r="F83" s="27"/>
      <c r="G83" s="27"/>
      <c r="H83" s="27"/>
    </row>
    <row r="84" spans="1:14" x14ac:dyDescent="0.25">
      <c r="B84" t="str">
        <f>B24&amp;" as a % of COGS"</f>
        <v>Accounts Payable as a % of COGS</v>
      </c>
      <c r="C84" s="26"/>
      <c r="D84" s="27"/>
      <c r="E84" s="27"/>
      <c r="F84" s="27"/>
      <c r="G84" s="27"/>
      <c r="H84" s="27"/>
    </row>
    <row r="86" spans="1:14" ht="15.75" x14ac:dyDescent="0.25">
      <c r="B86" t="s">
        <v>21</v>
      </c>
      <c r="C86" s="11"/>
      <c r="D86" s="11"/>
      <c r="E86" s="11"/>
      <c r="F86" s="11"/>
      <c r="G86" s="11"/>
      <c r="H86" s="11"/>
    </row>
    <row r="87" spans="1:14" ht="15.75" x14ac:dyDescent="0.25">
      <c r="B87" t="s">
        <v>47</v>
      </c>
      <c r="C87" s="24"/>
      <c r="D87" s="24"/>
      <c r="E87" s="24"/>
      <c r="F87" s="24"/>
      <c r="G87" s="24"/>
      <c r="H87" s="24"/>
    </row>
    <row r="88" spans="1:14" x14ac:dyDescent="0.25">
      <c r="B88" t="s">
        <v>48</v>
      </c>
      <c r="C88" s="7"/>
      <c r="D88" s="7"/>
      <c r="E88" s="7"/>
      <c r="F88" s="7"/>
      <c r="G88" s="7"/>
      <c r="H88" s="7"/>
    </row>
    <row r="89" spans="1:14" ht="15.75" x14ac:dyDescent="0.25">
      <c r="B89" s="19"/>
      <c r="C89" s="20"/>
      <c r="D89" s="20"/>
      <c r="E89" s="20"/>
      <c r="F89" s="20"/>
      <c r="G89" s="20"/>
      <c r="H89" s="20"/>
    </row>
    <row r="90" spans="1:14" ht="15.75" x14ac:dyDescent="0.25">
      <c r="A90" t="s">
        <v>1</v>
      </c>
      <c r="B90" s="3" t="s">
        <v>49</v>
      </c>
      <c r="C90" s="3"/>
      <c r="D90" s="3"/>
      <c r="E90" s="3"/>
      <c r="F90" s="3"/>
      <c r="G90" s="3"/>
      <c r="H90" s="3"/>
      <c r="I90" s="3"/>
      <c r="J90" s="3"/>
      <c r="K90" s="3"/>
      <c r="L90" s="3"/>
      <c r="M90" s="3"/>
      <c r="N90" s="3"/>
    </row>
    <row r="91" spans="1:14" ht="15.75" x14ac:dyDescent="0.25">
      <c r="B91" s="21" t="s">
        <v>50</v>
      </c>
      <c r="C91" s="22"/>
      <c r="D91" s="22"/>
      <c r="E91" s="22"/>
      <c r="F91" s="22"/>
      <c r="G91" s="22"/>
      <c r="H91" s="22"/>
      <c r="I91" s="22"/>
      <c r="J91" s="22"/>
      <c r="K91" s="22"/>
      <c r="L91" s="22"/>
      <c r="M91" s="22"/>
      <c r="N91" s="22"/>
    </row>
    <row r="92" spans="1:14" ht="15.75" x14ac:dyDescent="0.25">
      <c r="B92" t="s">
        <v>51</v>
      </c>
      <c r="D92" s="11"/>
      <c r="E92" s="11"/>
      <c r="F92" s="11"/>
      <c r="G92" s="11"/>
      <c r="H92" s="11"/>
    </row>
    <row r="94" spans="1:14" ht="15.75" x14ac:dyDescent="0.25">
      <c r="B94" t="s">
        <v>52</v>
      </c>
      <c r="C94" s="28"/>
    </row>
    <row r="95" spans="1:14" ht="15.75" x14ac:dyDescent="0.25">
      <c r="B95" t="s">
        <v>53</v>
      </c>
      <c r="C95" s="28"/>
    </row>
    <row r="96" spans="1:14" x14ac:dyDescent="0.25">
      <c r="B96" t="s">
        <v>54</v>
      </c>
      <c r="C96" s="7"/>
    </row>
    <row r="98" spans="2:15" ht="15.75" x14ac:dyDescent="0.25">
      <c r="C98" s="19"/>
      <c r="D98" s="19"/>
      <c r="E98" s="19"/>
      <c r="F98" s="19"/>
      <c r="G98" s="19"/>
      <c r="H98" s="19"/>
    </row>
    <row r="99" spans="2:15" x14ac:dyDescent="0.25">
      <c r="C99" s="7"/>
      <c r="D99" s="7"/>
      <c r="E99" s="7"/>
      <c r="F99" s="7"/>
      <c r="G99" s="7"/>
      <c r="H99" s="7"/>
    </row>
    <row r="100" spans="2:15" x14ac:dyDescent="0.25">
      <c r="C100" s="7"/>
      <c r="D100" s="7"/>
      <c r="E100" s="7"/>
      <c r="F100" s="7"/>
      <c r="G100" s="7"/>
      <c r="H100" s="7"/>
    </row>
    <row r="101" spans="2:15" x14ac:dyDescent="0.25">
      <c r="C101" s="7"/>
      <c r="D101" s="7"/>
      <c r="E101" s="7"/>
      <c r="F101" s="7"/>
      <c r="G101" s="7"/>
      <c r="H101" s="7"/>
    </row>
    <row r="102" spans="2:15" x14ac:dyDescent="0.25">
      <c r="C102" s="7"/>
      <c r="D102" s="7"/>
      <c r="E102" s="7"/>
      <c r="F102" s="7"/>
      <c r="G102" s="7"/>
      <c r="H102" s="7"/>
    </row>
    <row r="103" spans="2:15" x14ac:dyDescent="0.25">
      <c r="C103" s="7"/>
      <c r="D103" s="7"/>
      <c r="E103" s="7"/>
      <c r="F103" s="7"/>
      <c r="G103" s="7"/>
      <c r="H103" s="7"/>
    </row>
    <row r="105" spans="2:15" x14ac:dyDescent="0.25">
      <c r="B105" t="s">
        <v>55</v>
      </c>
      <c r="D105" s="7"/>
      <c r="E105" s="7"/>
      <c r="F105" s="7"/>
      <c r="G105" s="7"/>
      <c r="H105" s="7"/>
    </row>
    <row r="106" spans="2:15" x14ac:dyDescent="0.25">
      <c r="B106" t="s">
        <v>56</v>
      </c>
      <c r="D106" s="7"/>
      <c r="E106" s="7"/>
      <c r="F106" s="7"/>
      <c r="G106" s="7"/>
      <c r="H106" s="7"/>
    </row>
    <row r="107" spans="2:15" ht="15.75" x14ac:dyDescent="0.25">
      <c r="B107" s="16" t="s">
        <v>57</v>
      </c>
      <c r="C107" s="16"/>
      <c r="D107" s="17"/>
      <c r="E107" s="17"/>
      <c r="F107" s="17"/>
      <c r="G107" s="17"/>
      <c r="H107" s="17"/>
      <c r="I107" s="17"/>
      <c r="J107" s="17"/>
      <c r="K107" s="17"/>
      <c r="L107" s="17"/>
      <c r="M107" s="17"/>
      <c r="N107" s="17"/>
      <c r="O107" s="20"/>
    </row>
    <row r="109" spans="2:15" x14ac:dyDescent="0.25">
      <c r="B109" t="s">
        <v>58</v>
      </c>
      <c r="D109" s="7"/>
      <c r="E109" s="7"/>
      <c r="F109" s="7"/>
      <c r="G109" s="7"/>
      <c r="H109" s="7"/>
    </row>
    <row r="110" spans="2:15" x14ac:dyDescent="0.25">
      <c r="B110" t="s">
        <v>51</v>
      </c>
      <c r="D110" s="7"/>
      <c r="E110" s="7"/>
      <c r="F110" s="7"/>
      <c r="G110" s="7"/>
      <c r="H110" s="7"/>
    </row>
    <row r="111" spans="2:15" x14ac:dyDescent="0.25">
      <c r="B111" t="s">
        <v>6</v>
      </c>
      <c r="D111" s="7"/>
      <c r="E111" s="7"/>
      <c r="F111" s="7"/>
      <c r="G111" s="7"/>
      <c r="H111" s="7"/>
    </row>
    <row r="112" spans="2:15" ht="15.75" x14ac:dyDescent="0.25">
      <c r="B112" s="9" t="s">
        <v>59</v>
      </c>
      <c r="C112" s="10"/>
      <c r="D112" s="7"/>
      <c r="E112" s="7"/>
      <c r="F112" s="7"/>
      <c r="G112" s="7"/>
      <c r="H112" s="7"/>
    </row>
    <row r="114" spans="1:14" ht="15.75" x14ac:dyDescent="0.25">
      <c r="A114" t="s">
        <v>1</v>
      </c>
      <c r="B114" s="21" t="s">
        <v>60</v>
      </c>
      <c r="C114" s="22"/>
      <c r="D114" s="22"/>
      <c r="E114" s="22"/>
      <c r="F114" s="22"/>
      <c r="G114" s="22"/>
      <c r="H114" s="22"/>
      <c r="I114" s="22"/>
      <c r="J114" s="22"/>
      <c r="K114" s="22"/>
      <c r="L114" s="22"/>
      <c r="M114" s="22"/>
      <c r="N114" s="22"/>
    </row>
    <row r="115" spans="1:14" x14ac:dyDescent="0.25">
      <c r="B115" t="s">
        <v>61</v>
      </c>
      <c r="C115" s="7"/>
      <c r="D115" s="7"/>
      <c r="E115" s="7"/>
      <c r="F115" s="7"/>
      <c r="G115" s="7"/>
      <c r="H115" s="7"/>
    </row>
    <row r="116" spans="1:14" x14ac:dyDescent="0.25">
      <c r="B116" t="s">
        <v>11</v>
      </c>
      <c r="C116" s="7"/>
      <c r="D116" s="7"/>
      <c r="E116" s="7"/>
      <c r="F116" s="7"/>
      <c r="G116" s="7"/>
      <c r="H116" s="7"/>
    </row>
    <row r="117" spans="1:14" ht="15.75" x14ac:dyDescent="0.25">
      <c r="B117" t="s">
        <v>36</v>
      </c>
      <c r="C117" s="7"/>
      <c r="D117" s="11"/>
      <c r="E117" s="11"/>
      <c r="F117" s="11"/>
      <c r="G117" s="11"/>
      <c r="H117" s="11"/>
    </row>
    <row r="118" spans="1:14" ht="15.75" x14ac:dyDescent="0.25">
      <c r="B118" s="16" t="s">
        <v>62</v>
      </c>
      <c r="C118" s="17"/>
      <c r="D118" s="17"/>
      <c r="E118" s="17"/>
      <c r="F118" s="17"/>
      <c r="G118" s="17"/>
      <c r="H118" s="17"/>
      <c r="I118" s="17"/>
      <c r="J118" s="17"/>
      <c r="K118" s="17"/>
      <c r="L118" s="17"/>
      <c r="M118" s="17"/>
      <c r="N118" s="17"/>
    </row>
    <row r="120" spans="1:14" ht="15.75" x14ac:dyDescent="0.25">
      <c r="A120" t="s">
        <v>1</v>
      </c>
      <c r="B120" s="3" t="s">
        <v>19</v>
      </c>
      <c r="C120" s="3"/>
      <c r="D120" s="3"/>
      <c r="E120" s="3"/>
      <c r="F120" s="3"/>
      <c r="G120" s="3"/>
      <c r="H120" s="3"/>
      <c r="I120" s="3"/>
      <c r="J120" s="3"/>
      <c r="K120" s="3"/>
      <c r="L120" s="3"/>
      <c r="M120" s="3"/>
      <c r="N120" s="3"/>
    </row>
    <row r="121" spans="1:14" ht="15.75" x14ac:dyDescent="0.25">
      <c r="B121" s="21" t="s">
        <v>63</v>
      </c>
      <c r="C121" s="22"/>
      <c r="D121" s="22"/>
      <c r="E121" s="22"/>
      <c r="F121" s="22"/>
      <c r="G121" s="22"/>
      <c r="H121" s="22"/>
      <c r="I121" s="22"/>
      <c r="J121" s="22"/>
      <c r="K121" s="22"/>
      <c r="L121" s="22"/>
      <c r="M121" s="22"/>
      <c r="N121" s="22"/>
    </row>
    <row r="122" spans="1:14" x14ac:dyDescent="0.25">
      <c r="B122" t="s">
        <v>64</v>
      </c>
      <c r="D122" s="7"/>
      <c r="E122" s="7"/>
      <c r="F122" s="7"/>
      <c r="G122" s="7"/>
      <c r="H122" s="7"/>
    </row>
    <row r="123" spans="1:14" x14ac:dyDescent="0.25">
      <c r="B123" t="s">
        <v>65</v>
      </c>
      <c r="D123" s="7"/>
      <c r="E123" s="7"/>
      <c r="F123" s="7"/>
      <c r="G123" s="7"/>
      <c r="H123" s="7"/>
    </row>
    <row r="124" spans="1:14" x14ac:dyDescent="0.25">
      <c r="B124" t="s">
        <v>66</v>
      </c>
      <c r="D124" s="7"/>
      <c r="E124" s="7"/>
      <c r="F124" s="7"/>
      <c r="G124" s="7"/>
      <c r="H124" s="7"/>
    </row>
    <row r="125" spans="1:14" x14ac:dyDescent="0.25">
      <c r="B125" t="s">
        <v>33</v>
      </c>
      <c r="D125" s="7"/>
      <c r="E125" s="7"/>
      <c r="F125" s="7"/>
      <c r="G125" s="7"/>
      <c r="H125" s="7"/>
    </row>
    <row r="126" spans="1:14" x14ac:dyDescent="0.25">
      <c r="B126" t="s">
        <v>35</v>
      </c>
      <c r="D126" s="7"/>
      <c r="E126" s="7"/>
      <c r="F126" s="7"/>
      <c r="G126" s="7"/>
      <c r="H126" s="7"/>
    </row>
    <row r="127" spans="1:14" x14ac:dyDescent="0.25">
      <c r="B127" t="s">
        <v>36</v>
      </c>
      <c r="D127" s="7"/>
      <c r="E127" s="7"/>
      <c r="F127" s="7"/>
      <c r="G127" s="7"/>
      <c r="H127" s="7"/>
    </row>
    <row r="128" spans="1:14" ht="15.75" x14ac:dyDescent="0.25">
      <c r="B128" s="16" t="s">
        <v>67</v>
      </c>
      <c r="C128" s="16"/>
      <c r="D128" s="17"/>
      <c r="E128" s="17"/>
      <c r="F128" s="17"/>
      <c r="G128" s="17"/>
      <c r="H128" s="17"/>
      <c r="I128" s="17"/>
      <c r="J128" s="17"/>
      <c r="K128" s="17"/>
      <c r="L128" s="17"/>
      <c r="M128" s="17"/>
      <c r="N128" s="17"/>
    </row>
    <row r="130" spans="1:14" ht="15.75" x14ac:dyDescent="0.25">
      <c r="B130" s="21" t="s">
        <v>19</v>
      </c>
      <c r="C130" s="22"/>
      <c r="D130" s="22"/>
      <c r="E130" s="22"/>
      <c r="F130" s="22"/>
      <c r="G130" s="22"/>
      <c r="H130" s="22"/>
      <c r="I130" s="22"/>
      <c r="J130" s="22"/>
      <c r="K130" s="22"/>
      <c r="L130" s="22"/>
      <c r="M130" s="22"/>
      <c r="N130" s="22"/>
    </row>
    <row r="131" spans="1:14" x14ac:dyDescent="0.25">
      <c r="B131" t="s">
        <v>68</v>
      </c>
      <c r="D131" s="7"/>
      <c r="E131" s="7"/>
      <c r="F131" s="7"/>
      <c r="G131" s="7"/>
      <c r="H131" s="7"/>
    </row>
    <row r="132" spans="1:14" x14ac:dyDescent="0.25">
      <c r="B132" t="s">
        <v>34</v>
      </c>
      <c r="D132" s="7"/>
      <c r="E132" s="7"/>
      <c r="F132" s="7"/>
      <c r="G132" s="7"/>
      <c r="H132" s="7"/>
      <c r="I132" s="7"/>
    </row>
    <row r="133" spans="1:14" ht="15.75" x14ac:dyDescent="0.25">
      <c r="B133" s="16" t="s">
        <v>69</v>
      </c>
      <c r="C133" s="17"/>
      <c r="D133" s="17"/>
      <c r="E133" s="17"/>
      <c r="F133" s="17"/>
      <c r="G133" s="17"/>
      <c r="H133" s="17"/>
      <c r="I133" s="17"/>
      <c r="J133" s="17"/>
      <c r="K133" s="17"/>
      <c r="L133" s="17"/>
      <c r="M133" s="17"/>
      <c r="N133" s="17"/>
    </row>
    <row r="135" spans="1:14" ht="15.75" x14ac:dyDescent="0.25">
      <c r="B135" t="s">
        <v>70</v>
      </c>
      <c r="D135" s="25"/>
      <c r="E135" s="25"/>
      <c r="F135" s="25"/>
      <c r="G135" s="25"/>
      <c r="H135" s="25"/>
    </row>
    <row r="136" spans="1:14" x14ac:dyDescent="0.25">
      <c r="B136" t="s">
        <v>48</v>
      </c>
      <c r="D136" s="7"/>
      <c r="E136" s="7"/>
      <c r="F136" s="7"/>
      <c r="G136" s="7"/>
      <c r="H136" s="7"/>
    </row>
    <row r="137" spans="1:14" ht="15.75" x14ac:dyDescent="0.25">
      <c r="A137" t="s">
        <v>1</v>
      </c>
      <c r="B137" s="16" t="s">
        <v>71</v>
      </c>
      <c r="C137" s="17"/>
      <c r="D137" s="17"/>
      <c r="E137" s="17"/>
      <c r="F137" s="17"/>
      <c r="G137" s="17"/>
      <c r="H137" s="17"/>
      <c r="I137" s="17"/>
      <c r="J137" s="17"/>
      <c r="K137" s="17"/>
      <c r="L137" s="17"/>
      <c r="M137" s="17"/>
      <c r="N137" s="17"/>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38B8-9DDC-4A21-91F5-16908FAEDE25}">
  <dimension ref="B2:I49"/>
  <sheetViews>
    <sheetView workbookViewId="0">
      <selection activeCell="B42" sqref="B42"/>
    </sheetView>
  </sheetViews>
  <sheetFormatPr defaultRowHeight="15" x14ac:dyDescent="0.25"/>
  <cols>
    <col min="2" max="2" width="73.28515625" customWidth="1"/>
    <col min="3" max="3" width="24" customWidth="1"/>
    <col min="4" max="4" width="15" customWidth="1"/>
    <col min="5" max="5" width="12" customWidth="1"/>
    <col min="6" max="6" width="12.140625" customWidth="1"/>
  </cols>
  <sheetData>
    <row r="2" spans="2:9" ht="36" x14ac:dyDescent="0.55000000000000004">
      <c r="B2" s="34" t="s">
        <v>124</v>
      </c>
      <c r="C2" s="35"/>
      <c r="D2" s="35"/>
      <c r="E2" s="35"/>
      <c r="F2" s="35"/>
      <c r="G2" s="35"/>
      <c r="H2" s="35"/>
      <c r="I2" s="35"/>
    </row>
    <row r="4" spans="2:9" ht="15.75" x14ac:dyDescent="0.25">
      <c r="B4" s="53" t="s">
        <v>123</v>
      </c>
      <c r="C4" s="39"/>
      <c r="E4" s="38"/>
      <c r="F4" s="39"/>
      <c r="H4" s="38"/>
      <c r="I4" s="39"/>
    </row>
    <row r="6" spans="2:9" ht="15.75" x14ac:dyDescent="0.25">
      <c r="B6" s="36" t="s">
        <v>125</v>
      </c>
      <c r="C6" s="39"/>
      <c r="E6" s="38"/>
      <c r="F6" s="39"/>
      <c r="H6" s="38"/>
      <c r="I6" s="39"/>
    </row>
    <row r="8" spans="2:9" ht="15.75" x14ac:dyDescent="0.25">
      <c r="B8" s="36" t="s">
        <v>126</v>
      </c>
      <c r="C8" s="39"/>
      <c r="E8" s="38"/>
      <c r="F8" s="39"/>
      <c r="H8" s="38"/>
      <c r="I8" s="39"/>
    </row>
    <row r="9" spans="2:9" ht="75" x14ac:dyDescent="0.25">
      <c r="B9" s="49" t="s">
        <v>127</v>
      </c>
    </row>
    <row r="11" spans="2:9" ht="15.75" x14ac:dyDescent="0.25">
      <c r="C11" s="53" t="s">
        <v>128</v>
      </c>
      <c r="E11" s="38"/>
      <c r="F11" s="39"/>
      <c r="H11" s="38"/>
      <c r="I11" s="39"/>
    </row>
    <row r="12" spans="2:9" ht="15.75" x14ac:dyDescent="0.25">
      <c r="B12" s="38"/>
      <c r="C12" s="39"/>
      <c r="E12" s="38"/>
      <c r="F12" s="39"/>
      <c r="H12" s="38"/>
      <c r="I12" s="39"/>
    </row>
    <row r="13" spans="2:9" ht="15.75" x14ac:dyDescent="0.25">
      <c r="C13" s="36" t="s">
        <v>129</v>
      </c>
      <c r="D13" s="36" t="s">
        <v>122</v>
      </c>
      <c r="E13" s="36" t="s">
        <v>121</v>
      </c>
      <c r="F13" s="36" t="s">
        <v>137</v>
      </c>
    </row>
    <row r="14" spans="2:9" x14ac:dyDescent="0.25">
      <c r="C14" t="s">
        <v>130</v>
      </c>
      <c r="D14" s="50">
        <v>2500</v>
      </c>
      <c r="E14">
        <v>2000</v>
      </c>
      <c r="F14">
        <v>1200</v>
      </c>
    </row>
    <row r="15" spans="2:9" x14ac:dyDescent="0.25">
      <c r="C15" t="s">
        <v>131</v>
      </c>
      <c r="D15" s="50">
        <v>22000</v>
      </c>
      <c r="E15" s="50">
        <v>20000</v>
      </c>
      <c r="F15" s="50">
        <v>18000</v>
      </c>
    </row>
    <row r="16" spans="2:9" x14ac:dyDescent="0.25">
      <c r="C16" t="s">
        <v>132</v>
      </c>
      <c r="D16" s="50">
        <v>55000000</v>
      </c>
      <c r="E16" s="50">
        <v>40000000</v>
      </c>
      <c r="F16" s="50">
        <v>21600000</v>
      </c>
    </row>
    <row r="17" spans="3:9" x14ac:dyDescent="0.25">
      <c r="C17" t="s">
        <v>133</v>
      </c>
      <c r="D17" s="51">
        <v>0.4</v>
      </c>
      <c r="E17" s="51">
        <v>0.45</v>
      </c>
      <c r="F17" s="51">
        <v>0.5</v>
      </c>
    </row>
    <row r="18" spans="3:9" x14ac:dyDescent="0.25">
      <c r="C18" t="s">
        <v>134</v>
      </c>
      <c r="D18" s="51">
        <v>0.2</v>
      </c>
      <c r="E18" s="51">
        <v>0.25</v>
      </c>
      <c r="F18" s="51">
        <v>0.45</v>
      </c>
    </row>
    <row r="19" spans="3:9" x14ac:dyDescent="0.25">
      <c r="C19" t="s">
        <v>135</v>
      </c>
      <c r="D19" s="51">
        <v>0.1</v>
      </c>
      <c r="E19" s="51">
        <v>0.15</v>
      </c>
      <c r="F19" s="51">
        <v>0.35</v>
      </c>
    </row>
    <row r="20" spans="3:9" x14ac:dyDescent="0.25">
      <c r="C20" t="s">
        <v>136</v>
      </c>
      <c r="D20" s="52">
        <v>2000</v>
      </c>
      <c r="E20" s="52">
        <v>2500</v>
      </c>
      <c r="F20" s="52">
        <v>5000</v>
      </c>
    </row>
    <row r="22" spans="3:9" ht="15.75" x14ac:dyDescent="0.25">
      <c r="C22" s="36" t="s">
        <v>138</v>
      </c>
      <c r="E22" s="38"/>
      <c r="F22" s="39"/>
      <c r="H22" s="38"/>
      <c r="I22" s="39"/>
    </row>
    <row r="24" spans="3:9" ht="15.75" x14ac:dyDescent="0.25">
      <c r="C24" s="36" t="s">
        <v>139</v>
      </c>
      <c r="D24" s="36" t="s">
        <v>122</v>
      </c>
      <c r="E24" s="36" t="s">
        <v>121</v>
      </c>
      <c r="F24" s="36" t="s">
        <v>137</v>
      </c>
    </row>
    <row r="25" spans="3:9" x14ac:dyDescent="0.25">
      <c r="C25" t="s">
        <v>140</v>
      </c>
      <c r="D25" s="50">
        <v>11655000</v>
      </c>
      <c r="E25" s="50">
        <v>4830000</v>
      </c>
      <c r="F25" t="s">
        <v>143</v>
      </c>
    </row>
    <row r="26" spans="3:9" x14ac:dyDescent="0.25">
      <c r="C26" t="s">
        <v>141</v>
      </c>
      <c r="D26" s="50" t="s">
        <v>142</v>
      </c>
      <c r="E26" s="50">
        <v>65090000</v>
      </c>
      <c r="F26" s="50">
        <v>-36040000</v>
      </c>
    </row>
    <row r="27" spans="3:9" x14ac:dyDescent="0.25">
      <c r="C27" t="s">
        <v>144</v>
      </c>
      <c r="D27" t="s">
        <v>148</v>
      </c>
      <c r="E27" s="50" t="s">
        <v>149</v>
      </c>
      <c r="F27" s="51" t="s">
        <v>147</v>
      </c>
    </row>
    <row r="28" spans="3:9" x14ac:dyDescent="0.25">
      <c r="C28" t="s">
        <v>145</v>
      </c>
      <c r="D28" s="51" t="s">
        <v>146</v>
      </c>
      <c r="E28" s="51" t="s">
        <v>146</v>
      </c>
      <c r="F28" s="51" t="s">
        <v>147</v>
      </c>
    </row>
    <row r="29" spans="3:9" x14ac:dyDescent="0.25">
      <c r="D29" s="51"/>
      <c r="E29" s="51"/>
      <c r="F29" s="51"/>
    </row>
    <row r="30" spans="3:9" x14ac:dyDescent="0.25">
      <c r="D30" s="51"/>
      <c r="E30" s="51"/>
      <c r="F30" s="51"/>
    </row>
    <row r="31" spans="3:9" x14ac:dyDescent="0.25">
      <c r="D31" s="52"/>
      <c r="E31" s="52"/>
      <c r="F31" s="52"/>
    </row>
    <row r="39" spans="2:9" ht="15.75" x14ac:dyDescent="0.25">
      <c r="B39" s="53" t="s">
        <v>150</v>
      </c>
    </row>
    <row r="40" spans="2:9" ht="225" x14ac:dyDescent="0.25">
      <c r="B40" s="49" t="s">
        <v>151</v>
      </c>
    </row>
    <row r="42" spans="2:9" ht="15.75" x14ac:dyDescent="0.25">
      <c r="B42" s="53" t="s">
        <v>152</v>
      </c>
    </row>
    <row r="43" spans="2:9" ht="180" x14ac:dyDescent="0.25">
      <c r="B43" s="49" t="s">
        <v>153</v>
      </c>
    </row>
    <row r="45" spans="2:9" ht="15.75" x14ac:dyDescent="0.25">
      <c r="C45" s="39"/>
      <c r="E45" s="38"/>
      <c r="F45" s="39"/>
      <c r="H45" s="38"/>
      <c r="I45" s="39"/>
    </row>
    <row r="46" spans="2:9" x14ac:dyDescent="0.25"/>
    <row r="47" spans="2:9" x14ac:dyDescent="0.25">
      <c r="B47" s="49"/>
    </row>
    <row r="49" spans="3:9" ht="15.75" x14ac:dyDescent="0.25">
      <c r="C49" s="39"/>
      <c r="E49" s="38"/>
      <c r="F49" s="39"/>
      <c r="H49" s="38"/>
      <c r="I49" s="39"/>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58ECB-3747-4AE4-91BF-9ED5AE365D37}">
  <dimension ref="A1:D13"/>
  <sheetViews>
    <sheetView workbookViewId="0">
      <selection activeCell="D2" sqref="D2"/>
    </sheetView>
  </sheetViews>
  <sheetFormatPr defaultRowHeight="15" x14ac:dyDescent="0.25"/>
  <cols>
    <col min="1" max="1" width="10.42578125" customWidth="1"/>
    <col min="2" max="2" width="15.42578125" customWidth="1"/>
    <col min="3" max="3" width="17.85546875" customWidth="1"/>
    <col min="4" max="4" width="17.7109375" customWidth="1"/>
  </cols>
  <sheetData>
    <row r="1" spans="1:4" x14ac:dyDescent="0.25">
      <c r="A1" t="s">
        <v>120</v>
      </c>
      <c r="B1" s="48" t="s">
        <v>121</v>
      </c>
      <c r="C1" s="46" t="s">
        <v>122</v>
      </c>
      <c r="D1" s="47" t="s">
        <v>154</v>
      </c>
    </row>
    <row r="2" spans="1:4" x14ac:dyDescent="0.25">
      <c r="A2" t="s">
        <v>73</v>
      </c>
      <c r="B2" s="8">
        <v>12830000</v>
      </c>
      <c r="C2" s="8">
        <v>19655000</v>
      </c>
      <c r="D2" s="8">
        <v>4330000</v>
      </c>
    </row>
    <row r="3" spans="1:4" x14ac:dyDescent="0.25">
      <c r="A3" t="s">
        <v>74</v>
      </c>
      <c r="B3" s="8">
        <v>17660000</v>
      </c>
      <c r="C3" s="8">
        <v>31310000</v>
      </c>
      <c r="D3" s="8">
        <v>660000</v>
      </c>
    </row>
    <row r="4" spans="1:4" x14ac:dyDescent="0.25">
      <c r="A4" t="s">
        <v>75</v>
      </c>
      <c r="B4" s="8">
        <v>22490000</v>
      </c>
      <c r="C4" s="8">
        <v>42965000</v>
      </c>
      <c r="D4" s="8">
        <v>-3010000</v>
      </c>
    </row>
    <row r="5" spans="1:4" x14ac:dyDescent="0.25">
      <c r="A5" t="s">
        <v>76</v>
      </c>
      <c r="B5" s="8">
        <v>27320000</v>
      </c>
      <c r="C5" s="8">
        <v>54620000</v>
      </c>
      <c r="D5" s="8">
        <v>-6680000</v>
      </c>
    </row>
    <row r="6" spans="1:4" x14ac:dyDescent="0.25">
      <c r="A6" t="s">
        <v>77</v>
      </c>
      <c r="B6" s="8">
        <v>32150000</v>
      </c>
      <c r="C6" s="8">
        <v>66275000</v>
      </c>
      <c r="D6" s="8">
        <v>-10350000</v>
      </c>
    </row>
    <row r="7" spans="1:4" x14ac:dyDescent="0.25">
      <c r="A7" t="s">
        <v>78</v>
      </c>
      <c r="B7" s="8">
        <v>36980000</v>
      </c>
      <c r="C7" s="8">
        <v>77930000</v>
      </c>
      <c r="D7" s="8">
        <v>-14020000</v>
      </c>
    </row>
    <row r="8" spans="1:4" x14ac:dyDescent="0.25">
      <c r="A8" t="s">
        <v>79</v>
      </c>
      <c r="B8" s="8">
        <v>41810000</v>
      </c>
      <c r="C8" s="8">
        <v>89585000</v>
      </c>
      <c r="D8" s="8">
        <v>-17690000</v>
      </c>
    </row>
    <row r="9" spans="1:4" x14ac:dyDescent="0.25">
      <c r="A9" t="s">
        <v>80</v>
      </c>
      <c r="B9" s="8">
        <v>46640000</v>
      </c>
      <c r="C9" s="8">
        <v>101240000</v>
      </c>
      <c r="D9" s="8">
        <v>-21360000</v>
      </c>
    </row>
    <row r="10" spans="1:4" x14ac:dyDescent="0.25">
      <c r="A10" t="s">
        <v>81</v>
      </c>
      <c r="B10" s="8">
        <v>51470000</v>
      </c>
      <c r="C10" s="8">
        <v>112895000</v>
      </c>
      <c r="D10" s="8">
        <v>-25030000</v>
      </c>
    </row>
    <row r="11" spans="1:4" x14ac:dyDescent="0.25">
      <c r="A11" t="s">
        <v>82</v>
      </c>
      <c r="B11" s="8">
        <v>56300000</v>
      </c>
      <c r="C11" s="8">
        <v>124550000</v>
      </c>
      <c r="D11" s="8">
        <v>-28700000</v>
      </c>
    </row>
    <row r="12" spans="1:4" x14ac:dyDescent="0.25">
      <c r="A12" t="s">
        <v>83</v>
      </c>
      <c r="B12" s="8">
        <v>61130000</v>
      </c>
      <c r="C12" s="8">
        <v>136205000</v>
      </c>
      <c r="D12" s="8">
        <v>-32370000</v>
      </c>
    </row>
    <row r="13" spans="1:4" x14ac:dyDescent="0.25">
      <c r="A13" t="s">
        <v>84</v>
      </c>
      <c r="B13" s="8">
        <v>65960000</v>
      </c>
      <c r="C13" s="8">
        <v>147860000</v>
      </c>
      <c r="D13" s="8">
        <v>-36040000</v>
      </c>
    </row>
  </sheetData>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vt:lpstr>
      <vt:lpstr>Forecast</vt:lpstr>
      <vt:lpstr>Report</vt:lpstr>
      <vt:lpstr>Calc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Tobou Egbekun</dc:creator>
  <cp:lastModifiedBy>Tobou Egbekun</cp:lastModifiedBy>
  <dcterms:created xsi:type="dcterms:W3CDTF">2026-03-04T08:09:44Z</dcterms:created>
  <dcterms:modified xsi:type="dcterms:W3CDTF">2026-03-11T23:19:08Z</dcterms:modified>
</cp:coreProperties>
</file>